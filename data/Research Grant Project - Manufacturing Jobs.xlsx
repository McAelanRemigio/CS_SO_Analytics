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facturing Information" sheetId="1" r:id="rId4"/>
    <sheet state="visible" name="Additional Notes + Log" sheetId="2" r:id="rId5"/>
    <sheet state="visible" name="Data Dictionary" sheetId="3" r:id="rId6"/>
    <sheet state="visible" name="Calculated Salary (If Hourly Wa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This sheet is designed to calculate salaries if it is not provided as a salary, but as an hourly wage. This assumes a standard 40 hour work week.
	-Mcaelan Remigio</t>
      </text>
    </comment>
  </commentList>
</comments>
</file>

<file path=xl/sharedStrings.xml><?xml version="1.0" encoding="utf-8"?>
<sst xmlns="http://schemas.openxmlformats.org/spreadsheetml/2006/main" count="3103" uniqueCount="850">
  <si>
    <t>employer_name</t>
  </si>
  <si>
    <t>job_title</t>
  </si>
  <si>
    <t>salary_raw</t>
  </si>
  <si>
    <t>salary_min</t>
  </si>
  <si>
    <t>salary_max</t>
  </si>
  <si>
    <t>platform</t>
  </si>
  <si>
    <t>position_link</t>
  </si>
  <si>
    <t>career_website</t>
  </si>
  <si>
    <t>Tesla</t>
  </si>
  <si>
    <t>Internship, Controls Engineer, Manufacturing (Fall 2025)</t>
  </si>
  <si>
    <t>null</t>
  </si>
  <si>
    <t>Handshake</t>
  </si>
  <si>
    <t>N/A</t>
  </si>
  <si>
    <t>Tesla Careers</t>
  </si>
  <si>
    <t>Internship, Equipment Engineer, Manufacturing (Winter/Spring 2026)</t>
  </si>
  <si>
    <t>Internship, Construction Project Management, Infrastructure (Fall 2025)</t>
  </si>
  <si>
    <t>Internship, 3D Generalist, Vehicle User Interface (Summer 2025)</t>
  </si>
  <si>
    <t>Sr. Industrial Engineer</t>
  </si>
  <si>
    <t>Internship, IT Operations Intern, Infrastructure Engineering (Fall 2025)</t>
  </si>
  <si>
    <t>Internship, Security Services Coordinator, Security Systems Engineering (Fall 2025)</t>
  </si>
  <si>
    <t>Internship, Architecture &amp; Structural Engineer, Infrastructure (Fall 2025)</t>
  </si>
  <si>
    <t>Internship, Architecture &amp; Structural Engineer, Infrastructure (Winter/Spring 2026)</t>
  </si>
  <si>
    <t>Internship, Software Validation Engineer, Vehicle Firmware (Fall 2025)</t>
  </si>
  <si>
    <t>Entry Level Chemical Operator</t>
  </si>
  <si>
    <t>Internship, Systems Integration Engineer Low Voltage Power Management, Vehicle Firmware (Fall 2025)</t>
  </si>
  <si>
    <t>Internship, Vulnerability Research &amp; Security Engineering, Vehicle Software (Fall 2025)</t>
  </si>
  <si>
    <t>Internship, Controls Engineer, Manufacturing (Winter/Spring 2026)</t>
  </si>
  <si>
    <t>Tesla Advisor Part-Time</t>
  </si>
  <si>
    <t>Internship, Launch Engineer, Manufacturing (Winter/Spring 2026)</t>
  </si>
  <si>
    <t>Internship, Cell Engineering (Winter/Spring 2026)</t>
  </si>
  <si>
    <t>Diagnostics Engineer, Robotaxi Operations</t>
  </si>
  <si>
    <t>Controls Technician</t>
  </si>
  <si>
    <t>Internship, Audio Visual Technician, Applications Engineering (Fall 2025)</t>
  </si>
  <si>
    <t>Internship, Construction Project Management, Infrastructure (Winter/Spring 2026)</t>
  </si>
  <si>
    <t>Internship, Red Team Security Engineer, Vehicle Software (Fall 2025)</t>
  </si>
  <si>
    <t>Internship, Product Security Engineer, Vehicle Software (Winter/Spring 2026)</t>
  </si>
  <si>
    <t>Internship, Supply Chain (Spring 2026)</t>
  </si>
  <si>
    <t>Internship, Factory Firmware Embedded Software Engineer, Vehicle Software (Fall 2025)</t>
  </si>
  <si>
    <t>Internship, Integration Platforms Software Developer, Vehicle Firmware (Fall 2025)</t>
  </si>
  <si>
    <t>Internship, Quality Engineer, Manufacturing (Winter/Spring 2026)</t>
  </si>
  <si>
    <t>(Spring 2025 Jan-May) Engineering Program Manager Internship</t>
  </si>
  <si>
    <t>Internship, Materials Engineering (Fall 2025)</t>
  </si>
  <si>
    <t>https://www.tesla.com/careers/search/job/internship-security-services-coordinator-security-systems-engineering-fall-2025-243559</t>
  </si>
  <si>
    <t>Internship, Audio Visual Technician, Applications Engineering (Winter/Spring 2026)</t>
  </si>
  <si>
    <t>Manufacturing Engineering Intern (6-8 Months, Fall 2025+Spring 2026)</t>
  </si>
  <si>
    <t>Internship, Technical Illustrator, Service Engineering (Summer 2025)</t>
  </si>
  <si>
    <t>Internship, Security Systems Engineer, Life Safety Communications (Winter/Spring 2026)</t>
  </si>
  <si>
    <t>Vehicle Detailing Specialist</t>
  </si>
  <si>
    <t>Internship, Industrial Engineer, Supply Chain (Winter/Spring 2026)</t>
  </si>
  <si>
    <t>Internship, Process Engineer, Manufacturing (Winter/Spring 2026)</t>
  </si>
  <si>
    <t>Internship, Process Engineer, Manufacturing (Fall 2025)</t>
  </si>
  <si>
    <t>Diagnostics Engineer, Semi</t>
  </si>
  <si>
    <t>Data Engineer Intern</t>
  </si>
  <si>
    <t>Internship, Body Controls Systems Integration Engineer, Vehicle Firmware (Fall 2025)</t>
  </si>
  <si>
    <t>Internship, Quality Engineer, Manufacturing (Fall 2025)</t>
  </si>
  <si>
    <t>Internship, Technical Editor, Service Engineering (Fall 2025)</t>
  </si>
  <si>
    <t>Internship, Haskell Software Developer, Vehicle Firmware (Fall 2025)</t>
  </si>
  <si>
    <t>Internship, Industrial Engineer, Manufacturing (Winter/Spring 2026)</t>
  </si>
  <si>
    <t>Internship, Red Team Security Engineer, Vehicle Software (Winter/Spring 2026)</t>
  </si>
  <si>
    <t>Student Architectural Intern</t>
  </si>
  <si>
    <t>Internship, Launch Engineer, Manufacturing (Fall 2025)</t>
  </si>
  <si>
    <t>Internship, Technical Editor, Vehicle Service (Summer 2025)</t>
  </si>
  <si>
    <t>Internship, Equipment Engineer, Manufacturing (Fall 2025)</t>
  </si>
  <si>
    <t>h Internship, 3D Generalist, Vehicle User Interface (Fall 2025)</t>
  </si>
  <si>
    <t>Internship, BIM Specialist, Security Engineering (Fall 2025)</t>
  </si>
  <si>
    <t>Internship, Thermal Systems Embedded Software Engineer, Vehicle Firmware (Fall 2025)</t>
  </si>
  <si>
    <t>Internship, Industrial Engineer, Manufacturing (Fall 2025)</t>
  </si>
  <si>
    <t>ResMed</t>
  </si>
  <si>
    <t>Test Engineering Intern</t>
  </si>
  <si>
    <t>Resmed Career</t>
  </si>
  <si>
    <t>Machine Learning Operations Intern</t>
  </si>
  <si>
    <t>CX Ops Intern</t>
  </si>
  <si>
    <t>Machine Learning Engineering Intern</t>
  </si>
  <si>
    <t>Software Engineering Intern</t>
  </si>
  <si>
    <t>Software Test Engineering Intern</t>
  </si>
  <si>
    <t>Automation Specialist Intern</t>
  </si>
  <si>
    <t>Associate Analyst, IT Support Intern</t>
  </si>
  <si>
    <t>Manufacturing Engineering Intern</t>
  </si>
  <si>
    <t>Android Developer Intern</t>
  </si>
  <si>
    <t>Data Scientist Engineering Intern</t>
  </si>
  <si>
    <t>GenAI Machine Learning Intern</t>
  </si>
  <si>
    <t>Continuous Improvement Intern</t>
  </si>
  <si>
    <t>Process Engineering Intern</t>
  </si>
  <si>
    <t>Technical Program Manager Intern</t>
  </si>
  <si>
    <t>Associate Platform Engineering Intern</t>
  </si>
  <si>
    <t>Oldcastle Infrastructure</t>
  </si>
  <si>
    <t>Operations &amp; Supply Chain Summer Intern</t>
  </si>
  <si>
    <t>Oldcastle_Infrastructure</t>
  </si>
  <si>
    <t>Materials Science Engineer Intern</t>
  </si>
  <si>
    <t>Estimating and Project Support Engineer Intern</t>
  </si>
  <si>
    <t>Business Performance Intern (Artificial Intelligence)</t>
  </si>
  <si>
    <t>Sales Operations Analyst Intern</t>
  </si>
  <si>
    <t>Data Analyst Intern</t>
  </si>
  <si>
    <t>Finance Intern</t>
  </si>
  <si>
    <t>EPM Finance Analyst Intern</t>
  </si>
  <si>
    <t>Customer Service Intern</t>
  </si>
  <si>
    <t>Marketing Intern ( Hydro)</t>
  </si>
  <si>
    <t>Corporate EHS Intern</t>
  </si>
  <si>
    <t>General Atomics</t>
  </si>
  <si>
    <t>General Atomics - Legal Assistant 2025</t>
  </si>
  <si>
    <t>Careers | General Atomics</t>
  </si>
  <si>
    <t>Summer 2026- Legal Intern</t>
  </si>
  <si>
    <t>Summer 2026 Software Intern</t>
  </si>
  <si>
    <t>Legal Intern-Year-round  (Undergraduate)</t>
  </si>
  <si>
    <t>Summer 2026 Engineering Intern</t>
  </si>
  <si>
    <t>Summer 2026 Business Intern</t>
  </si>
  <si>
    <t>Summer 2026 IT Systems Intern</t>
  </si>
  <si>
    <t>ASML</t>
  </si>
  <si>
    <t>Co-Op Mechanical Design Engineer Spring 2026</t>
  </si>
  <si>
    <t>ASML Careers</t>
  </si>
  <si>
    <t>System Industrialisation Engineer</t>
  </si>
  <si>
    <t>Internship - Customer Support</t>
  </si>
  <si>
    <t>Senior System Integration and Test Engineer</t>
  </si>
  <si>
    <t>Senior CS Technical Support Engineer</t>
  </si>
  <si>
    <t>Internship - Field Service Engineering - EUV</t>
  </si>
  <si>
    <t>Mechanical Engineer</t>
  </si>
  <si>
    <t>Internship- Community &amp; Employee Engagement</t>
  </si>
  <si>
    <t>Internship- Customer Badging</t>
  </si>
  <si>
    <t>Internship- Organization, Talent, and Leadership Development</t>
  </si>
  <si>
    <t>Business Process Analyst Co-Op - Spring 2026</t>
  </si>
  <si>
    <t>Technical Project Lead</t>
  </si>
  <si>
    <t>Internship in  Customer Support Engineer</t>
  </si>
  <si>
    <t>System Integration and Test Engineer</t>
  </si>
  <si>
    <t>Electrical Engineer</t>
  </si>
  <si>
    <t>Senior Software Engineer 1</t>
  </si>
  <si>
    <t>Senior Competence Engineer</t>
  </si>
  <si>
    <t>Co-op Business Process Analyst</t>
  </si>
  <si>
    <t>Senior Data Analyst</t>
  </si>
  <si>
    <t>Internship- University Relations</t>
  </si>
  <si>
    <t>Lean Expert</t>
  </si>
  <si>
    <t>Quality Engineer</t>
  </si>
  <si>
    <t>Internship - Quality Engineer - Summer 2026</t>
  </si>
  <si>
    <t>Internship - Customer Support Engineer</t>
  </si>
  <si>
    <t>Internship- People Operations- Human Resources</t>
  </si>
  <si>
    <t>Software Engineer</t>
  </si>
  <si>
    <t>Co-Op Reliability Engineer</t>
  </si>
  <si>
    <t>Systems Integration Co-Op - Spring 2026</t>
  </si>
  <si>
    <t>Senior Software Engineer</t>
  </si>
  <si>
    <t>Senior IT Applications Engineer</t>
  </si>
  <si>
    <t>Internship -Test and Measurement Facility Engineer - Summer 2026</t>
  </si>
  <si>
    <t>Internship - Field Service Engineer</t>
  </si>
  <si>
    <t>Co-op - Test and Measurement Facility Engineer - Spring 2026</t>
  </si>
  <si>
    <t>Quality Engineering Co-Op - Spring 2026</t>
  </si>
  <si>
    <t>Dexcom</t>
  </si>
  <si>
    <t>Senior Manager of Systems Engineering - Hardware &amp; Firmware</t>
  </si>
  <si>
    <t>$164,200.00 - $273,600.00</t>
  </si>
  <si>
    <t>Website</t>
  </si>
  <si>
    <t>https://careers.dexcom.com/careers?domain=dexcom.com&amp;start=0&amp;location=San+Diego%2C+CA%2C+United+States&amp;pid=38527152&amp;sort_by=distance&amp;filter_distance=80&amp;filter_include_remote=1</t>
  </si>
  <si>
    <t>Dexcom Careers and Job Opportunities</t>
  </si>
  <si>
    <t>Senior Medical Device Engineer</t>
  </si>
  <si>
    <t>$105,800.00 - $176,300.00</t>
  </si>
  <si>
    <t>https://careers.dexcom.com/careers?domain=dexcom.com&amp;start=0&amp;location=San+Diego%2C+CA%2C+United+States&amp;pid=38528658&amp;sort_by=distance&amp;filter_distance=80&amp;filter_include_remote=1</t>
  </si>
  <si>
    <t>Product Manager</t>
  </si>
  <si>
    <t>$122,500.00 - $204,100.00</t>
  </si>
  <si>
    <t>https://careers.dexcom.com/careers?domain=dexcom.com&amp;start=0&amp;location=San+Diego%2C+CA%2C+United+States&amp;pid=38600257&amp;sort_by=distance&amp;filter_distance=80&amp;filter_include_remote=1</t>
  </si>
  <si>
    <t>Sr. Research Scientist, AI Experience (Data Scientist 3)</t>
  </si>
  <si>
    <t>$116,600.00 - $194,400.00</t>
  </si>
  <si>
    <t>https://careers.dexcom.com/careers?domain=dexcom.com&amp;start=0&amp;location=San+Diego%2C+CA%2C+United+States&amp;pid=38634309&amp;sort_by=distance&amp;filter_distance=80&amp;filter_include_remote=1</t>
  </si>
  <si>
    <t>Commercial Pricing Analyst</t>
  </si>
  <si>
    <t>$61,900.00 - $103,100.00</t>
  </si>
  <si>
    <t>https://careers.dexcom.com/careers?domain=dexcom.com&amp;start=0&amp;location=San+Diego%2C+CA%2C+United+States&amp;pid=38634681&amp;sort_by=distance&amp;filter_distance=80&amp;filter_include_remote=1</t>
  </si>
  <si>
    <t>Staff Process Engineer</t>
  </si>
  <si>
    <t>$111,100.00 - $185,100.00</t>
  </si>
  <si>
    <t>https://careers.dexcom.com/careers?domain=dexcom.com&amp;start=0&amp;location=San+Diego%2C+CA%2C+United+States&amp;pid=38650202&amp;sort_by=distance&amp;filter_distance=80&amp;filter_include_remote=1</t>
  </si>
  <si>
    <t>Director of Medical Device Engineering - Sensor Development</t>
  </si>
  <si>
    <t>$190,100.00 - $316,800.00</t>
  </si>
  <si>
    <t>https://careers.dexcom.com/careers?domain=dexcom.com&amp;start=0&amp;location=San+Diego%2C+CA%2C+United+States&amp;pid=38689354&amp;sort_by=distance&amp;filter_distance=80&amp;filter_include_remote=1</t>
  </si>
  <si>
    <t>Sr Manager Molding Engineering</t>
  </si>
  <si>
    <t>$149,000.00 - $248,300.00</t>
  </si>
  <si>
    <t>https://careers.dexcom.com/careers?domain=dexcom.com&amp;start=0&amp;location=San+Diego%2C+CA%2C+United+States&amp;pid=38691824&amp;sort_by=distance&amp;filter_distance=80&amp;filter_include_remote=1</t>
  </si>
  <si>
    <t>Principal Engineer - Head of Sensor Production Support</t>
  </si>
  <si>
    <t>$181,000.00 - $301,600.00</t>
  </si>
  <si>
    <t>https://careers.dexcom.com/careers?domain=dexcom.com&amp;start=0&amp;location=San+Diego%2C+CA%2C+United+States&amp;pid=38067926&amp;sort_by=distance&amp;filter_distance=80&amp;filter_include_remote=1</t>
  </si>
  <si>
    <t>Senior Staff Systems Engineer</t>
  </si>
  <si>
    <t>https://careers.dexcom.com/careers?domain=dexcom.com&amp;start=0&amp;location=San+Diego%2C+CA%2C+United+States&amp;pid=38258935&amp;sort_by=distance&amp;filter_distance=80&amp;filter_include_remote=1</t>
  </si>
  <si>
    <t>Senior Systems Engineer - Hardware Platforms</t>
  </si>
  <si>
    <t>https://careers.dexcom.com/careers?domain=dexcom.com&amp;start=0&amp;location=San+Diego%2C+CA%2C+United+States&amp;pid=38259335&amp;sort_by=distance&amp;filter_distance=80&amp;filter_include_remote=1</t>
  </si>
  <si>
    <t>Sr Product Manager, Consumer International Expansion San Diego, California Apply Now</t>
  </si>
  <si>
    <t>$141,800.00 - $236,400.00</t>
  </si>
  <si>
    <t>https://careers.dexcom.com/careers?domain=dexcom.com&amp;start=0&amp;location=San+Diego%2C+CA%2C+United+States&amp;pid=38281788&amp;sort_by=distance&amp;filter_distance=80&amp;filter_include_remote=1</t>
  </si>
  <si>
    <t>Sr Manager Regulatory Affairs</t>
  </si>
  <si>
    <t>https://careers.dexcom.com/careers?domain=dexcom.com&amp;start=0&amp;location=San+Diego%2C+CA%2C+United+States&amp;pid=38281790&amp;sort_by=distance&amp;filter_distance=80&amp;filter_include_remote=1</t>
  </si>
  <si>
    <t>Senior Product Manager – Next-Gen Biosensors</t>
  </si>
  <si>
    <t>https://careers.dexcom.com/careers?domain=dexcom.com&amp;start=0&amp;location=San+Diego%2C+CA%2C+United+States&amp;pid=38298391&amp;sort_by=distance&amp;filter_distance=80&amp;filter_include_remote=1</t>
  </si>
  <si>
    <t>Sr Medical Affairs Specialist - Regulatory Writing and Scientific Communications</t>
  </si>
  <si>
    <t>$95,900.00 - $159,900.00</t>
  </si>
  <si>
    <t>https://careers.dexcom.com/careers?domain=dexcom.com&amp;start=0&amp;location=San+Diego%2C+CA%2C+United+States&amp;pid=38303576&amp;sort_by=distance&amp;filter_distance=80&amp;filter_include_remote=1</t>
  </si>
  <si>
    <t>Lead HEOR Specialist</t>
  </si>
  <si>
    <t>https://careers.dexcom.com/careers?domain=dexcom.com&amp;start=10&amp;location=San+Diego%2C+CA%2C+United+States&amp;pid=38327758&amp;sort_by=distance&amp;filter_distance=80&amp;filter_include_remote=1</t>
  </si>
  <si>
    <t>Manager of Finance Systems and Reporting</t>
  </si>
  <si>
    <t>https://careers.dexcom.com/careers?domain=dexcom.com&amp;start=10&amp;location=San+Diego%2C+CA%2C+United+States&amp;pid=38328582&amp;sort_by=distance&amp;filter_distance=80&amp;filter_include_remote=1</t>
  </si>
  <si>
    <t>Director Product Management</t>
  </si>
  <si>
    <t>$172,400.00 - $287,300.00</t>
  </si>
  <si>
    <t>https://careers.dexcom.com/careers?domain=dexcom.com&amp;start=10&amp;location=San+Diego%2C+CA%2C+United+States&amp;pid=38353575&amp;sort_by=distance&amp;filter_distance=80&amp;filter_include_remote=1</t>
  </si>
  <si>
    <t>Sr Mechanical Engineer</t>
  </si>
  <si>
    <t>https://careers.dexcom.com/careers?domain=dexcom.com&amp;start=10&amp;location=San+Diego%2C+CA%2C+United+States&amp;pid=38423560&amp;sort_by=distance&amp;filter_distance=80&amp;filter_include_remote=1</t>
  </si>
  <si>
    <t>https://careers.dexcom.com/careers?domain=dexcom.com&amp;start=10&amp;location=San+Diego%2C+CA%2C+United+States&amp;pid=38423561&amp;sort_by=distance&amp;filter_distance=80&amp;filter_include_remote=1</t>
  </si>
  <si>
    <t>Senior Staff Scientist - New Analyte Technology Lead</t>
  </si>
  <si>
    <t>$156,400.00 - $260,600.00</t>
  </si>
  <si>
    <t>https://careers.dexcom.com/careers?domain=dexcom.com&amp;start=10&amp;location=San+Diego%2C+CA%2C+United+States&amp;pid=38431267&amp;sort_by=distance&amp;filter_distance=80&amp;filter_include_remote=1</t>
  </si>
  <si>
    <t>Product Manager - Dexcom Clarity</t>
  </si>
  <si>
    <t>https://careers.dexcom.com/careers?domain=dexcom.com&amp;start=10&amp;location=San+Diego%2C+CA%2C+United+States&amp;pid=38447070&amp;sort_by=distance&amp;filter_distance=80&amp;filter_include_remote=1</t>
  </si>
  <si>
    <t>https://careers.dexcom.com/careers?domain=dexcom.com&amp;start=10&amp;location=San+Diego%2C+CA%2C+United+States&amp;pid=38506365&amp;sort_by=distance&amp;filter_distance=80&amp;filter_include_remote=1</t>
  </si>
  <si>
    <t>https://careers.dexcom.com/careers?domain=dexcom.com&amp;start=10&amp;location=San+Diego%2C+CA%2C+United+States&amp;pid=38517167&amp;sort_by=distance&amp;filter_distance=80&amp;filter_include_remote=1</t>
  </si>
  <si>
    <t>Manager Global Security Engineering</t>
  </si>
  <si>
    <t>https://careers.dexcom.com/careers?domain=dexcom.com&amp;start=10&amp;location=San+Diego%2C+CA%2C+United+States&amp;pid=38545958&amp;sort_by=distance&amp;filter_distance=80&amp;filter_include_remote=1</t>
  </si>
  <si>
    <t>Staff Data Engineer</t>
  </si>
  <si>
    <t>$128,600.00 - $214,400.00</t>
  </si>
  <si>
    <t>https://careers.dexcom.com/careers?domain=dexcom.com&amp;start=20&amp;location=San+Diego%2C+CA%2C+United+States&amp;pid=37796900&amp;sort_by=distance&amp;filter_distance=80&amp;filter_include_remote=1</t>
  </si>
  <si>
    <t>Staff Medical Device Engineer</t>
  </si>
  <si>
    <t>https://careers.dexcom.com/careers?domain=dexcom.com&amp;start=20&amp;location=San+Diego%2C+CA%2C+United+States&amp;pid=37805660&amp;sort_by=distance&amp;filter_distance=80&amp;filter_include_remote=1</t>
  </si>
  <si>
    <t>Senior Staff Process Development Engineer</t>
  </si>
  <si>
    <t>https://careers.dexcom.com/careers?domain=dexcom.com&amp;start=20&amp;location=San+Diego%2C+CA%2C+United+States&amp;pid=37817755&amp;sort_by=distance&amp;filter_distance=80&amp;filter_include_remote=1</t>
  </si>
  <si>
    <t>Sr Product Manager - Customer Service &amp; Support Solutions</t>
  </si>
  <si>
    <t>https://careers.dexcom.com/careers?domain=dexcom.com&amp;start=20&amp;location=San+Diego%2C+CA%2C+United+States&amp;pid=38063062&amp;sort_by=distance&amp;filter_distance=80&amp;filter_include_remote=1</t>
  </si>
  <si>
    <t>Sr Manager Treasury</t>
  </si>
  <si>
    <t>$135,100.00 - $225,100.00</t>
  </si>
  <si>
    <t>https://careers.dexcom.com/careers?domain=dexcom.com&amp;start=20&amp;location=San+Diego%2C+CA%2C+United+States&amp;pid=38111765&amp;sort_by=distance&amp;filter_distance=80&amp;filter_include_remote=1</t>
  </si>
  <si>
    <t>Sr Manager Automation Engineering</t>
  </si>
  <si>
    <t>https://careers.dexcom.com/careers?domain=dexcom.com&amp;start=20&amp;location=San+Diego%2C+CA%2C+United+States&amp;pid=38217564&amp;sort_by=distance&amp;filter_distance=80&amp;filter_include_remote=1</t>
  </si>
  <si>
    <t>Product Manager, Clinical Services– Patient Safety &amp; Clinical Support</t>
  </si>
  <si>
    <t>https://careers.dexcom.com/careers?domain=dexcom.com&amp;start=20&amp;location=San+Diego%2C+CA%2C+United+States&amp;pid=38260384&amp;sort_by=distance&amp;filter_distance=80&amp;filter_include_remote=1</t>
  </si>
  <si>
    <t>Staff Mechanical Engineer</t>
  </si>
  <si>
    <t>https://careers.dexcom.com/careers?domain=dexcom.com&amp;start=20&amp;location=San+Diego%2C+CA%2C+United+States&amp;pid=38260822&amp;sort_by=distance&amp;filter_distance=80&amp;filter_include_remote=1</t>
  </si>
  <si>
    <t>https://careers.dexcom.com/careers?domain=dexcom.com&amp;start=20&amp;location=San+Diego%2C+CA%2C+United+States&amp;pid=38308172&amp;sort_by=distance&amp;filter_distance=80&amp;filter_include_remote=1</t>
  </si>
  <si>
    <t>Manager, Enterprise Communications (Hybrid)</t>
  </si>
  <si>
    <t>https://careers.dexcom.com/careers?domain=dexcom.com&amp;start=20&amp;location=San+Diego%2C+CA%2C+United+States&amp;pid=38446073&amp;sort_by=distance&amp;filter_distance=80&amp;filter_include_remote=1</t>
  </si>
  <si>
    <t>https://careers.dexcom.com/careers?domain=dexcom.com&amp;start=30&amp;location=San+Diego%2C+CA%2C+United+States&amp;pid=38446073&amp;sort_by=distance&amp;filter_distance=80&amp;filter_include_remote=1</t>
  </si>
  <si>
    <t>https://careers.dexcom.com/careers?domain=dexcom.com&amp;start=30&amp;location=San+Diego%2C+CA%2C+United+States&amp;pid=38650203&amp;sort_by=distance&amp;filter_distance=80&amp;filter_include_remote=1</t>
  </si>
  <si>
    <t>https://careers.dexcom.com/careers?domain=dexcom.com&amp;start=30&amp;location=San+Diego%2C+CA%2C+United+States&amp;pid=38600257&amp;sort_by=distance&amp;filter_distance=80&amp;filter_include_remote=1</t>
  </si>
  <si>
    <t>Sr Manager Accounting</t>
  </si>
  <si>
    <t>https://careers.dexcom.com/careers?domain=dexcom.com&amp;start=30&amp;location=San+Diego%2C+CA%2C+United+States&amp;pid=38601292&amp;sort_by=distance&amp;filter_distance=80&amp;filter_include_remote=1</t>
  </si>
  <si>
    <t>Senior Staff Test Equipment Development Engineer</t>
  </si>
  <si>
    <t>https://careers.dexcom.com/careers?domain=dexcom.com&amp;start=30&amp;location=San+Diego%2C+CA%2C+United+States&amp;pid=30363827&amp;sort_by=distance&amp;filter_distance=80&amp;filter_include_remote=1</t>
  </si>
  <si>
    <t>Staff Formulation Scientist</t>
  </si>
  <si>
    <t>https://careers.dexcom.com/careers?domain=dexcom.com&amp;start=30&amp;location=San+Diego%2C+CA%2C+United+States&amp;pid=30552960&amp;sort_by=distance&amp;filter_distance=80&amp;filter_include_remote=1</t>
  </si>
  <si>
    <t>Staff SW Development Engineer</t>
  </si>
  <si>
    <t>https://careers.dexcom.com/careers?domain=dexcom.com&amp;start=30&amp;location=San+Diego%2C+CA%2C+United+States&amp;pid=30682102&amp;sort_by=distance&amp;filter_distance=80&amp;filter_include_remote=1</t>
  </si>
  <si>
    <t>Staff Medical Device Engineer - Process Development</t>
  </si>
  <si>
    <t>https://careers.dexcom.com/careers?domain=dexcom.com&amp;start=30&amp;location=San+Diego%2C+CA%2C+United+States&amp;pid=30948534&amp;sort_by=distance&amp;filter_distance=80&amp;filter_include_remote=1</t>
  </si>
  <si>
    <t>Software QA Engineer 2</t>
  </si>
  <si>
    <t>$75,200.00 - $125,300.00</t>
  </si>
  <si>
    <t>https://careers.dexcom.com/careers?domain=dexcom.com&amp;start=30&amp;location=San+Diego%2C+CA%2C+United+States&amp;pid=38950278&amp;sort_by=distance&amp;filter_distance=80&amp;filter_include_remote=1</t>
  </si>
  <si>
    <t>Sr Process Development Engineer</t>
  </si>
  <si>
    <t>$91,400.00 - $152,300.00</t>
  </si>
  <si>
    <t>https://careers.dexcom.com/careers?domain=dexcom.com&amp;start=30&amp;location=San+Diego%2C+CA%2C+United+States&amp;pid=38966407&amp;sort_by=distance&amp;filter_distance=80&amp;filter_include_remote=1</t>
  </si>
  <si>
    <t>Senior Systems Engineer - Configuration Management</t>
  </si>
  <si>
    <t>$100,700.00 - $167,900.00</t>
  </si>
  <si>
    <t>https://careers.dexcom.com/careers?domain=dexcom.com&amp;start=40&amp;location=San+Diego%2C+CA%2C+United+States&amp;pid=38744540&amp;sort_by=distance&amp;filter_distance=80&amp;filter_include_remote=1</t>
  </si>
  <si>
    <t>https://careers.dexcom.com/careers?domain=dexcom.com&amp;start=40&amp;location=San+Diego%2C+CA%2C+United+States&amp;pid=38650202&amp;sort_by=distance&amp;filter_distance=80&amp;filter_include_remote=1</t>
  </si>
  <si>
    <t>Financial Analyst - Commercial</t>
  </si>
  <si>
    <t>$65,000.00 - $108,300.00</t>
  </si>
  <si>
    <t>https://careers.dexcom.com/careers?domain=dexcom.com&amp;start=40&amp;location=San+Diego%2C+CA%2C+United+States&amp;pid=39060707&amp;sort_by=distance&amp;filter_distance=80&amp;filter_include_remote=1</t>
  </si>
  <si>
    <t>Manager Process Development Engineering</t>
  </si>
  <si>
    <t>https://careers.dexcom.com/careers?domain=dexcom.com&amp;start=40&amp;location=San+Diego%2C+CA%2C+United+States&amp;pid=39097431&amp;sort_by=distance&amp;filter_distance=80&amp;filter_include_remote=1</t>
  </si>
  <si>
    <t>Sr Sales Operations Analyst (Incentive Compensation) - Remote</t>
  </si>
  <si>
    <t>$87,000.00 - $145,000.00</t>
  </si>
  <si>
    <t>https://careers.dexcom.com/careers?domain=dexcom.com&amp;start=40&amp;location=San+Diego%2C+CA%2C+United+States&amp;pid=37867846&amp;sort_by=distance&amp;filter_distance=80&amp;filter_include_remote=1</t>
  </si>
  <si>
    <t>https://careers.dexcom.com/careers?domain=dexcom.com&amp;start=40&amp;location=San+Diego%2C+CA%2C+United+States&amp;pid=38689354&amp;sort_by=distance&amp;filter_distance=80&amp;filter_include_remote=1</t>
  </si>
  <si>
    <t>https://careers.dexcom.com/careers?domain=dexcom.com&amp;start=40&amp;location=San+Diego%2C+CA%2C+United+States&amp;pid=38691824&amp;sort_by=distance&amp;filter_distance=80&amp;filter_include_remote=1</t>
  </si>
  <si>
    <t>https://careers.dexcom.com/careers?domain=dexcom.com&amp;start=40&amp;location=San+Diego%2C+CA%2C+United+States&amp;pid=38744538&amp;sort_by=distance&amp;filter_distance=80&amp;filter_include_remote=1</t>
  </si>
  <si>
    <t xml:space="preserve">Manager Pricing </t>
  </si>
  <si>
    <t>https://careers.dexcom.com/careers?domain=dexcom.com&amp;start=40&amp;location=San+Diego%2C+CA%2C+United+States&amp;pid=38841482&amp;sort_by=distance&amp;filter_distance=80&amp;filter_include_remote=1</t>
  </si>
  <si>
    <t>Sr QA Engineer</t>
  </si>
  <si>
    <t>https://careers.dexcom.com/careers?domain=dexcom.com&amp;start=40&amp;location=San+Diego%2C+CA%2C+United+States&amp;pid=38886618&amp;sort_by=distance&amp;filter_distance=80&amp;filter_include_remote=1</t>
  </si>
  <si>
    <t>Staff Process Development Engineer</t>
  </si>
  <si>
    <t>https://careers.dexcom.com/careers?domain=dexcom.com&amp;start=50&amp;location=San+Diego%2C+CA%2C+United+States&amp;pid=38939173&amp;sort_by=distance&amp;filter_distance=80&amp;filter_include_remote=1</t>
  </si>
  <si>
    <t>Staff Information Architect</t>
  </si>
  <si>
    <t>https://careers.dexcom.com/careers?domain=dexcom.com&amp;start=50&amp;location=San+Diego%2C+CA%2C+United+States&amp;pid=38951157&amp;sort_by=distance&amp;filter_distance=80&amp;filter_include_remote=1</t>
  </si>
  <si>
    <t>Sr Staff Process Development Engineer</t>
  </si>
  <si>
    <t>https://careers.dexcom.com/careers?domain=dexcom.com&amp;start=50&amp;location=San+Diego%2C+CA%2C+United+States&amp;pid=38952524&amp;sort_by=distance&amp;filter_distance=80&amp;filter_include_remote=1</t>
  </si>
  <si>
    <t>Senior Analytical Scientist</t>
  </si>
  <si>
    <t>https://careers.dexcom.com/careers?domain=dexcom.com&amp;start=50&amp;location=San+Diego%2C+CA%2C+United+States&amp;pid=38999680&amp;sort_by=distance&amp;filter_distance=80&amp;filter_include_remote=1</t>
  </si>
  <si>
    <t>Manager, Partner Excellence</t>
  </si>
  <si>
    <t>https://careers.dexcom.com/careers?domain=dexcom.com&amp;start=50&amp;location=San+Diego%2C+CA%2C+United+States&amp;pid=39047096&amp;sort_by=distance&amp;filter_distance=80&amp;filter_include_remote=1</t>
  </si>
  <si>
    <t>Senior Regulatory Affairs Specialist</t>
  </si>
  <si>
    <t>https://careers.dexcom.com/careers?domain=dexcom.com&amp;start=50&amp;location=San+Diego%2C+CA%2C+United+States&amp;pid=39060785&amp;sort_by=distance&amp;filter_distance=80&amp;filter_include_remote=1</t>
  </si>
  <si>
    <t>https://careers.dexcom.com/careers?domain=dexcom.com&amp;start=50&amp;location=San+Diego%2C+CA%2C+United+States&amp;pid=39062911&amp;sort_by=distance&amp;filter_distance=80&amp;filter_include_remote=1</t>
  </si>
  <si>
    <t>https://careers.dexcom.com/careers?domain=dexcom.com&amp;start=50&amp;location=San+Diego%2C+CA%2C+United+States&amp;pid=39060707&amp;sort_by=distance&amp;filter_distance=80&amp;filter_include_remote=1</t>
  </si>
  <si>
    <t>https://careers.dexcom.com/careers?domain=dexcom.com&amp;start=50&amp;location=San+Diego%2C+CA%2C+United+States&amp;pid=39097431&amp;sort_by=distance&amp;filter_distance=80&amp;filter_include_remote=1</t>
  </si>
  <si>
    <t>https://careers.dexcom.com/careers?domain=dexcom.com&amp;start=50&amp;location=San+Diego%2C+CA%2C+United+States&amp;pid=38744540&amp;sort_by=distance&amp;filter_distance=80&amp;filter_include_remote=1</t>
  </si>
  <si>
    <t>Sr Hardware Engineer</t>
  </si>
  <si>
    <t>https://careers.dexcom.com/careers?domain=dexcom.com&amp;start=60&amp;location=San+Diego%2C+CA%2C+United+States&amp;pid=38753566&amp;sort_by=distance&amp;filter_distance=80&amp;filter_include_remote=1</t>
  </si>
  <si>
    <t>Product Manager – Onboarding &amp; Setup</t>
  </si>
  <si>
    <t>https://careers.dexcom.com/careers?domain=dexcom.com&amp;start=60&amp;location=San+Diego%2C+CA%2C+United+States&amp;pid=38111376&amp;sort_by=distance&amp;filter_distance=80&amp;filter_include_remote=1</t>
  </si>
  <si>
    <t>Manager Clinical Affairs</t>
  </si>
  <si>
    <t>https://careers.dexcom.com/careers?domain=dexcom.com&amp;start=60&amp;location=San+Diego%2C+CA%2C+United+States&amp;pid=30892577&amp;sort_by=distance&amp;filter_distance=80&amp;filter_include_remote=1</t>
  </si>
  <si>
    <t>Director Global Integrated Evidence Planning</t>
  </si>
  <si>
    <t>https://careers.dexcom.com/careers?domain=dexcom.com&amp;start=60&amp;location=San+Diego%2C+CA%2C+United+States&amp;pid=38433645&amp;sort_by=distance&amp;filter_distance=80&amp;filter_include_remote=1</t>
  </si>
  <si>
    <t>District Business Manager (Nebraska)</t>
  </si>
  <si>
    <t>https://careers.dexcom.com/careers?domain=dexcom.com&amp;start=60&amp;location=San+Diego%2C+CA%2C+United+States&amp;pid=38515393&amp;sort_by=distance&amp;filter_distance=80&amp;filter_include_remote=1</t>
  </si>
  <si>
    <t>Sr Health Econ and Outcomes Res Specialist</t>
  </si>
  <si>
    <t>https://careers.dexcom.com/careers?domain=dexcom.com&amp;start=60&amp;location=San+Diego%2C+CA%2C+United+States&amp;pid=38516212&amp;sort_by=distance&amp;filter_distance=80&amp;filter_include_remote=1</t>
  </si>
  <si>
    <t>Sr Manager Biostatistics</t>
  </si>
  <si>
    <t>https://careers.dexcom.com/careers?domain=dexcom.com&amp;start=60&amp;location=San+Diego%2C+CA%2C+United+States&amp;pid=38567812&amp;sort_by=distance&amp;filter_distance=80&amp;filter_include_remote=1</t>
  </si>
  <si>
    <t>Staff Salesforce Applications Developer</t>
  </si>
  <si>
    <t>https://careers.dexcom.com/careers?domain=dexcom.com&amp;start=60&amp;location=San+Diego%2C+CA%2C+United+States&amp;pid=38048343&amp;sort_by=distance&amp;filter_distance=80&amp;filter_include_remote=1</t>
  </si>
  <si>
    <t>Sr Product Manager, Clinical Services – Metabolic Health Platform &amp; Insights Engine</t>
  </si>
  <si>
    <t>https://careers.dexcom.com/careers?domain=dexcom.com&amp;start=60&amp;location=San+Diego%2C+CA%2C+United+States&amp;pid=38201571&amp;sort_by=distance&amp;filter_distance=80&amp;filter_include_remote=1</t>
  </si>
  <si>
    <t>Sr Enterprise Applications Developer</t>
  </si>
  <si>
    <t>https://careers.dexcom.com/careers/job/38259056?domain=dexcom.com</t>
  </si>
  <si>
    <t>eCommerce Platform Lead</t>
  </si>
  <si>
    <t>https://careers.dexcom.com/careers?domain=dexcom.com&amp;start=70&amp;location=San+Diego%2C+CA%2C+United+States&amp;pid=38261368&amp;sort_by=distance&amp;filter_distance=80&amp;filter_include_remote=1</t>
  </si>
  <si>
    <t>Sr Federal Business Manager - Northeast</t>
  </si>
  <si>
    <t>https://careers.dexcom.com/careers?domain=dexcom.com&amp;start=70&amp;location=San+Diego%2C+CA%2C+United+States&amp;pid=38840757&amp;sort_by=distance&amp;filter_distance=80&amp;filter_include_remote=1</t>
  </si>
  <si>
    <t>Product Manager, Consumer, User Activation &amp; Support (Remote)</t>
  </si>
  <si>
    <t>https://careers.dexcom.com/careers?domain=dexcom.com&amp;start=70&amp;location=San+Diego%2C+CA%2C+United+States&amp;pid=30664536&amp;sort_by=distance&amp;filter_distance=80&amp;filter_include_remote=1</t>
  </si>
  <si>
    <t>Territory Business Manager - Reno</t>
  </si>
  <si>
    <t>https://careers.dexcom.com/careers?domain=dexcom.com&amp;start=70&amp;location=San+Diego%2C+CA%2C+United+States&amp;pid=39063071&amp;sort_by=distance&amp;filter_distance=80&amp;filter_include_remote=1</t>
  </si>
  <si>
    <t>Director Clinical Scientist</t>
  </si>
  <si>
    <t>$199,600.00 - $332,600.00</t>
  </si>
  <si>
    <t>https://careers.dexcom.com/careers?domain=dexcom.com&amp;start=70&amp;location=San+Diego%2C+CA%2C+United+States&amp;pid=38950280&amp;sort_by=distance&amp;filter_distance=80&amp;filter_include_remote=1</t>
  </si>
  <si>
    <t>Sr Lead Patient Support Services Analyst</t>
  </si>
  <si>
    <t>https://careers.dexcom.com/careers?domain=dexcom.com&amp;start=70&amp;location=San+Diego%2C+CA%2C+United+States&amp;pid=39049356&amp;sort_by=distance&amp;filter_distance=80&amp;filter_include_remote=1</t>
  </si>
  <si>
    <t>Procter &amp; Gamble</t>
  </si>
  <si>
    <t>Corporation Aviation Seminar</t>
  </si>
  <si>
    <t>P&amp;G Careers</t>
  </si>
  <si>
    <t xml:space="preserve">Corporation Aviation Seminar - Seminar </t>
  </si>
  <si>
    <t>Data Scientist</t>
  </si>
  <si>
    <t>Site Digital IT Manager (2026 Grads)</t>
  </si>
  <si>
    <t>Masters Data Science Internship</t>
  </si>
  <si>
    <t>Advanced Analytics &amp; Insights (Consumer &amp; Market Knowledge) Internship - Summer 2026</t>
  </si>
  <si>
    <t>Analytics &amp; Insights (Consumer &amp; Market Knowledge) Internship - Summer 2026</t>
  </si>
  <si>
    <t>Sales Internship - Summer 2026</t>
  </si>
  <si>
    <t>Marketing Technology Intern</t>
  </si>
  <si>
    <t>Site IT Operations Intern</t>
  </si>
  <si>
    <t>Human Resources Internship</t>
  </si>
  <si>
    <t>IT Engineer Internship</t>
  </si>
  <si>
    <t>Project &amp; Product Manager Intern</t>
  </si>
  <si>
    <t>Quality Assurance Digital Compliance Manager</t>
  </si>
  <si>
    <t>PhD R&amp;D Intern - Odor Control Mechanisms</t>
  </si>
  <si>
    <t>R&amp;D PhD Summer Intern - Robotics and Autonomous Lab Systems</t>
  </si>
  <si>
    <t>PhD R&amp;D Intern - Synthetic Biology</t>
  </si>
  <si>
    <t>PhD R&amp;D Intern - Biopolymer Innovation</t>
  </si>
  <si>
    <t>PhD Intern - Hair Care Detangling</t>
  </si>
  <si>
    <t>PhD Intern Hair Care - Scalp Mechanisms and Methods Innovation</t>
  </si>
  <si>
    <t xml:space="preserve">Senior Brand Management Internship </t>
  </si>
  <si>
    <t>Research &amp; Development Engineer Intern</t>
  </si>
  <si>
    <t>Frito-Lay</t>
  </si>
  <si>
    <t>Sanitor - Part-Time - 1st Shift</t>
  </si>
  <si>
    <t>https://portal.fritolayemployment.com/fritocareers/JobDetail?jobId=504286&amp;recommendation=&amp;jobName=Sanitor+-+Part-Time+-+1st+Shift&amp;source=&amp;tags=</t>
  </si>
  <si>
    <t>Frito-Lay Careers</t>
  </si>
  <si>
    <t>Sales Utility Representative</t>
  </si>
  <si>
    <t>https://portal.fritolayemployment.com/fritocareers/JobDetail?jobId=503836&amp;recommendation=&amp;jobName=Sales+Utility+Representative&amp;source=&amp;tags=</t>
  </si>
  <si>
    <t>Route Sales Representative</t>
  </si>
  <si>
    <t>https://portal.fritolayemployment.com/fritocareers/JobDetail?jobId=505046&amp;recommendation=&amp;jobName=Route+Sales+Representative&amp;source=&amp;tags=</t>
  </si>
  <si>
    <t>https://portal.fritolayemployment.com/fritocareers/JobDetail?jobId=504675&amp;recommendation=&amp;jobName=Route+Sales+Representative&amp;source=&amp;tags=</t>
  </si>
  <si>
    <t>https://portal.fritolayemployment.com/fritocareers/JobDetail?jobId=504679&amp;recommendation=&amp;jobName=Route+Sales+Representative&amp;source=&amp;tags=</t>
  </si>
  <si>
    <t>https://portal.fritolayemployment.com/fritocareers/JobDetail?jobId=504491&amp;recommendation=&amp;jobName=Route+Sales+Representative&amp;source=&amp;tags=</t>
  </si>
  <si>
    <t>https://portal.fritolayemployment.com/fritocareers/JobDetail?jobId=504492&amp;recommendation=&amp;jobName=Route+Sales+Representative&amp;source=&amp;tags=</t>
  </si>
  <si>
    <t>https://portal.fritolayemployment.com/fritocareers/JobDetail?jobId=503835&amp;recommendation=&amp;jobName=Route+Sales+Representative&amp;source=&amp;tags=</t>
  </si>
  <si>
    <t>https://portal.fritolayemployment.com/fritocareers/JobDetail?jobId=503243&amp;recommendation=&amp;jobName=Route+Sales+Representative&amp;source=&amp;tags=</t>
  </si>
  <si>
    <t>https://portal.fritolayemployment.com/fritocareers/JobDetail?jobId=503111&amp;recommendation=&amp;jobName=Route+Sales+Representative&amp;source=&amp;tags=</t>
  </si>
  <si>
    <t>https://portal.fritolayemployment.com/fritocareers/JobDetail?jobId=500653&amp;recommendation=&amp;jobName=Route+Sales+Representative&amp;source=&amp;tags=</t>
  </si>
  <si>
    <t>Merchandiser - Seasonal</t>
  </si>
  <si>
    <t>https://portal.fritolayemployment.com/fritocareers/JobDetail?jobId=502986&amp;recommendation=&amp;jobName=Merchandiser+-+Seasonal&amp;source=&amp;tags=</t>
  </si>
  <si>
    <t>https://portal.fritolayemployment.com/fritocareers/JobDetail?jobId=500654&amp;recommendation=&amp;jobName=Merchandiser+-+Seasonal&amp;source=&amp;tags=</t>
  </si>
  <si>
    <t>Merchandiser</t>
  </si>
  <si>
    <t>https://portal.fritolayemployment.com/fritocareers/JobDetail?jobId=504677&amp;recommendation=&amp;jobName=Merchandiser&amp;source=&amp;tags=</t>
  </si>
  <si>
    <t>https://portal.fritolayemployment.com/fritocareers/JobDetail?jobId=502492&amp;recommendation=&amp;jobName=Merchandiser&amp;source=&amp;tags=</t>
  </si>
  <si>
    <t>Geographical Enterprise Solutions (GES) Part-Time Picker/Loader 4th Shift</t>
  </si>
  <si>
    <t>https://portal.fritolayemployment.com/fritocareers/JobDetail?jobId=505024&amp;recommendation=&amp;jobName=Geographical+Enterprise+Solutions+%28GES%29+Part-Time+Picker%2FLoader+4th+Shift&amp;source=&amp;tags=</t>
  </si>
  <si>
    <t>Detailer - Part-Time</t>
  </si>
  <si>
    <t>https://portal.fritolayemployment.com/fritocareers/JobDetail?jobId=504674&amp;recommendation=&amp;jobName=Detailer+-+Part-Time&amp;source=&amp;tags=</t>
  </si>
  <si>
    <t>https://portal.fritolayemployment.com/fritocareers/JobDetail?jobId=502968&amp;recommendation=&amp;jobName=Detailer+-+Part-Time&amp;source=&amp;tags=</t>
  </si>
  <si>
    <t>https://portal.fritolayemployment.com/fritocareers/JobDetail?jobId=501659&amp;recommendation=&amp;jobName=Detailer+-+Part-Time&amp;source=&amp;tags=</t>
  </si>
  <si>
    <t>Delivery Secialist (No CDL)</t>
  </si>
  <si>
    <t>https://portal.fritolayemployment.com/fritocareers/JobDetail?jobId=505148&amp;recommendation=&amp;jobName=Delivery+Specialist+%28no+CDL%29&amp;source=&amp;tags=</t>
  </si>
  <si>
    <t>Gusmer Enterprises, Inc.</t>
  </si>
  <si>
    <t>Safety Coordinator - Part Time</t>
  </si>
  <si>
    <t>$58,240.00 - $66,560.00</t>
  </si>
  <si>
    <t>https://www.gusmerenterprises.com/career/safety-coordinator-part-time/</t>
  </si>
  <si>
    <t>Careers | Gusmer Enterprise</t>
  </si>
  <si>
    <t>Industrial Maintenance Mechanic</t>
  </si>
  <si>
    <t>$62,400.00 - $72,800.00</t>
  </si>
  <si>
    <t>https://www.gusmerenterprises.com/career/industrial-maintenance-mechanic/</t>
  </si>
  <si>
    <t>Gallo Glass Company</t>
  </si>
  <si>
    <t>Analyst 3 - Supply Chain Buyer</t>
  </si>
  <si>
    <t>$91,500.00 - $114,400.00</t>
  </si>
  <si>
    <t>https://careers.g3enterprises.com/job/Analyst-3-Supply-Chain-Buyer/15237-en_US</t>
  </si>
  <si>
    <t>Gallo Glass Company Careers (AKA G3 Enterprises)</t>
  </si>
  <si>
    <t>Talent Acquisition Partner</t>
  </si>
  <si>
    <t>$83,200.00 - $104,000.00</t>
  </si>
  <si>
    <t>https://careers.g3enterprises.com/job/Talent-Acquisition-Partner/15200-en_US</t>
  </si>
  <si>
    <t>Golden State Foods</t>
  </si>
  <si>
    <t>Maintenance Mechanic</t>
  </si>
  <si>
    <t>$63,377.60 - $70,449.60</t>
  </si>
  <si>
    <t>https://goldenstatefoods.ttcportals.com/jobs/17026331-maintenance-mechanic</t>
  </si>
  <si>
    <t>Golden State Foods Careers</t>
  </si>
  <si>
    <t>Warehouse Utility/Yard Driver - 2nd Shift</t>
  </si>
  <si>
    <t>https://goldenstatefoods.ttcportals.com/jobs/16861813-warehouse-utility-slash-yard-driver</t>
  </si>
  <si>
    <t>General Manager</t>
  </si>
  <si>
    <t>$131,000.00 - $195,000.00</t>
  </si>
  <si>
    <t>Sr. Maintenance Supervisor (2nd Shift)</t>
  </si>
  <si>
    <t>$90,000.00 - $110,000.00</t>
  </si>
  <si>
    <t>https://goldenstatefoods.ttcportals.com/jobs/16831365-sr-maintenance-supervisor-2nd-shift</t>
  </si>
  <si>
    <t>Sr. Applications Developer Analyst</t>
  </si>
  <si>
    <t>$125,000.00 - $135,000.00</t>
  </si>
  <si>
    <t>https://goldenstatefoods.ttcportals.com/jobs/16432545-sr-applications-developer-analyst</t>
  </si>
  <si>
    <t>California Dairies, Inc.</t>
  </si>
  <si>
    <t>Relief, Plant Person</t>
  </si>
  <si>
    <t>https://jobs.dayforcehcm.com/en-US/cadry/CANDIDATEPORTAL/jobs/436</t>
  </si>
  <si>
    <t>Careers – California Dairies, Inc.</t>
  </si>
  <si>
    <t>Sanitation</t>
  </si>
  <si>
    <t>https://jobs.dayforcehcm.com/en-US/cadry/CANDIDATEPORTAL/jobs/432</t>
  </si>
  <si>
    <t>Supervisor, Warehouse</t>
  </si>
  <si>
    <t>$72,499.00 - $107,769.00</t>
  </si>
  <si>
    <t>https://jobs.dayforcehcm.com/en-US/cadry/CANDIDATEPORTAL/jobs/408</t>
  </si>
  <si>
    <t>Maintenance Supervisor</t>
  </si>
  <si>
    <t>$79,608.00 - $118,336.00</t>
  </si>
  <si>
    <t>https://jobs.dayforcehcm.com/en-US/cadry/CANDIDATEPORTAL/jobs/326</t>
  </si>
  <si>
    <t>Plant Manager, Processing &amp; Powder</t>
  </si>
  <si>
    <t>$104,802.00 - $160,114.00</t>
  </si>
  <si>
    <t>https://jobs.dayforcehcm.com/en-US/cadry/CANDIDATEPORTAL/jobs/279</t>
  </si>
  <si>
    <t>Maintenance Mechanic - Turlock South</t>
  </si>
  <si>
    <t>https://jobs.dayforcehcm.com/en-US/cadry/CANDIDATEPORTAL/jobs/246</t>
  </si>
  <si>
    <t>Supervisor, Maintenance</t>
  </si>
  <si>
    <t>https://jobs.dayforcehcm.com/en-US/cadry/CANDIDATEPORTAL/jobs/242</t>
  </si>
  <si>
    <t>Continuous Improvement Manager</t>
  </si>
  <si>
    <t>$84,533.00 - $126,512.00</t>
  </si>
  <si>
    <t>https://jobs.dayforcehcm.com/en-US/cadry/CANDIDATEPORTAL/jobs/70</t>
  </si>
  <si>
    <t>GrayMatter Robotics</t>
  </si>
  <si>
    <t>Robotics Engineer: System and Applications</t>
  </si>
  <si>
    <t>$115,000.00 - $150,000.00</t>
  </si>
  <si>
    <t>https://jobs.ashbyhq.com/graymatter-robotics/d641a19c-c877-49b4-8740-a7fbb6c86888</t>
  </si>
  <si>
    <t>GrayMatter Robotics Jobs</t>
  </si>
  <si>
    <t>Robotics Engineer: System and Applications, New Grad</t>
  </si>
  <si>
    <t>$90,000.00 - $115,000.00</t>
  </si>
  <si>
    <t>https://jobs.ashbyhq.com/graymatter-robotics/0d819d81-9013-485c-b3b2-b2253621ad8c</t>
  </si>
  <si>
    <t>Robotics Engineering Intern: Systems &amp; Applications</t>
  </si>
  <si>
    <t>$62,400.00 - $83,200.00</t>
  </si>
  <si>
    <t>https://jobs.ashbyhq.com/graymatter-robotics/b3ccaee6-9c32-428f-aba6-2819e3c1d9d6</t>
  </si>
  <si>
    <t>Robotics Engineering Manager: Systems &amp; Applications</t>
  </si>
  <si>
    <t>$200,000.00 - $220,000.00</t>
  </si>
  <si>
    <t>https://jobs.ashbyhq.com/graymatter-robotics/b17273ca-66a1-4e6c-968a-79ae9b71f4c1</t>
  </si>
  <si>
    <t>Office Administrator</t>
  </si>
  <si>
    <t>$41,600.00 - $62,400.00</t>
  </si>
  <si>
    <t>https://jobs.ashbyhq.com/graymatter-robotics/4e46049a-a261-4f17-9ca3-b1d50c19f169</t>
  </si>
  <si>
    <t>Warehouse Facilities Manager</t>
  </si>
  <si>
    <t>$110,000.00 - $145,000.00</t>
  </si>
  <si>
    <t>https://jobs.ashbyhq.com/graymatter-robotics/dc45a3bc-05df-4625-841b-b2da4b658111</t>
  </si>
  <si>
    <t>Robotics Engineer: Software, New Grad</t>
  </si>
  <si>
    <t>$100,000.00 - $120,000.00</t>
  </si>
  <si>
    <t>https://jobs.ashbyhq.com/graymatter-robotics/9c82239a-1480-47db-9f5c-4113e829232c</t>
  </si>
  <si>
    <t>Robotics Engineer: Systems &amp; Applications</t>
  </si>
  <si>
    <t>https://jobs.ashbyhq.com/graymatter-robotics/33f2fffb-c16c-4714-836b-5c845879efe6</t>
  </si>
  <si>
    <t>Robotics Engineering Intern: Software</t>
  </si>
  <si>
    <t>$72,800.00 - $93,600.00</t>
  </si>
  <si>
    <t>https://jobs.ashbyhq.com/graymatter-robotics/adf6d70d-df0a-4966-843b-614cb5038d01</t>
  </si>
  <si>
    <t>https://jobs.ashbyhq.com/graymatter-robotics/245b7097-9909-4fee-82c8-b9f0acf03f87</t>
  </si>
  <si>
    <t>Senior Robotics Engineer: Paint</t>
  </si>
  <si>
    <t>$120,000.00 - $150,000.00</t>
  </si>
  <si>
    <t>https://jobs.ashbyhq.com/graymatter-robotics/1e23dcff-795b-44d3-bfe9-42348737e284</t>
  </si>
  <si>
    <t>Senior Robotics Engineer: Software</t>
  </si>
  <si>
    <t>$130,000.00 - $165,000.00</t>
  </si>
  <si>
    <t>https://jobs.ashbyhq.com/graymatter-robotics/0db6809a-4ab7-40ea-ae20-d2dc743a17cb</t>
  </si>
  <si>
    <t>Senior Robotics Engineer: Systems &amp; Applications</t>
  </si>
  <si>
    <t>https://jobs.ashbyhq.com/graymatter-robotics/8156de98-57d3-453c-9305-59a154320add</t>
  </si>
  <si>
    <t>Marketing Design Manager</t>
  </si>
  <si>
    <t>$85,000.00 - $135,000.00</t>
  </si>
  <si>
    <t>https://jobs.ashbyhq.com/graymatter-robotics/b8170427-2552-4fd0-b871-6b044d03a185</t>
  </si>
  <si>
    <t>Automation Engineer</t>
  </si>
  <si>
    <t>$120,000.00 - $140,000.00</t>
  </si>
  <si>
    <t>https://jobs.ashbyhq.com/graymatter-robotics/8f5e099e-4f3f-4d3b-9e27-ed843428b048</t>
  </si>
  <si>
    <t>Robotics Engineer: Process</t>
  </si>
  <si>
    <t>$80,000.00 - $100,000.00</t>
  </si>
  <si>
    <t>https://jobs.ashbyhq.com/graymatter-robotics/d640abb0-1e36-4fc7-9d30-d6dbd19e9c13</t>
  </si>
  <si>
    <t>$100,000.00 - $115,000.00</t>
  </si>
  <si>
    <t>https://jobs.ashbyhq.com/graymatter-robotics/0f138dde-13df-492b-bff6-618401ada94d</t>
  </si>
  <si>
    <t>https://jobs.ashbyhq.com/graymatter-robotics/dea0f08d-ebf5-4e55-b9cb-e6302014f429</t>
  </si>
  <si>
    <t>Senior Robotics Engineer: Motion Planning</t>
  </si>
  <si>
    <t>$130,000.00 - $190,000.00</t>
  </si>
  <si>
    <t>https://jobs.ashbyhq.com/graymatter-robotics/2f63fe0b-e2e5-467e-b9ff-2c9153b3910c</t>
  </si>
  <si>
    <t>Stanislaus Food Products Co.</t>
  </si>
  <si>
    <t>Customer Relations Manager</t>
  </si>
  <si>
    <t>$90,000.00 - $105,000.00</t>
  </si>
  <si>
    <t>https://recruiting2.ultipro.com/STA1045STAFP/JobBoard/647cb3f9-edae-414e-a5fe-c4a67c86dd6a/OpportunityDetail?opportunityId=3b63df6e-1159-411c-b51b-1ac2ca214b72</t>
  </si>
  <si>
    <t>Stanislaus Food Products Careers</t>
  </si>
  <si>
    <t>Seasonal Safety Clerk</t>
  </si>
  <si>
    <t>$45,240.00 - $46,800.00</t>
  </si>
  <si>
    <t>https://recruiting2.ultipro.com/STA1045STAFP/JobBoard/647cb3f9-edae-414e-a5fe-c4a67c86dd6a/OpportunityDetail?opportunityId=c4269281-a065-4adf-9f2d-fbec5f5b502d</t>
  </si>
  <si>
    <t>Electrician</t>
  </si>
  <si>
    <t>https://recruiting2.ultipro.com/STA1045STAFP/JobBoard/647cb3f9-edae-414e-a5fe-c4a67c86dd6a/OpportunityDetail?opportunityId=3a762350-0c20-459d-bf34-717490dd5c75</t>
  </si>
  <si>
    <t>System Administrator</t>
  </si>
  <si>
    <t>$95,000.00 - $120,000.00</t>
  </si>
  <si>
    <t>https://recruiting2.ultipro.com/STA1045STAFP/JobBoard/647cb3f9-edae-414e-a5fe-c4a67c86dd6a/OpportunityDetail?opportunityId=823979e6-a53b-4147-bb34-5e4eafb07790</t>
  </si>
  <si>
    <t>Business Development Representative - Northern Virginia</t>
  </si>
  <si>
    <t>https://recruiting2.ultipro.com/STA1045STAFP/JobBoard/647cb3f9-edae-414e-a5fe-c4a67c86dd6a/OpportunityDetail?opportunityId=39b5264d-ccbf-40dc-a9cf-594781ca045d</t>
  </si>
  <si>
    <t>Kaiser Aluminum</t>
  </si>
  <si>
    <t>https://myjobs.adp.com/kaisercareers/cx/job-listing?FIELD1=California</t>
  </si>
  <si>
    <t>Kaiser Aluminum Careers</t>
  </si>
  <si>
    <t>$150,000.00 - $180,000.00</t>
  </si>
  <si>
    <t xml:space="preserve">Master-Master Maintenance Technician </t>
  </si>
  <si>
    <t>Boeing</t>
  </si>
  <si>
    <t>Lead Manufacturing Engineer</t>
  </si>
  <si>
    <t>$129,200.00 - $174,800.00</t>
  </si>
  <si>
    <t>https://jobs.boeing.com/job/los-angeles/lead-manufacturing-engineer/185/89064253888</t>
  </si>
  <si>
    <t>Boeing Careers</t>
  </si>
  <si>
    <t>Systems Engineer Lead</t>
  </si>
  <si>
    <t>$138,550.00 - $187,450.00</t>
  </si>
  <si>
    <t>https://jobs.boeing.com/job/los-angeles/systems-engineer-lead-or-senior/185/88882208608</t>
  </si>
  <si>
    <t>Systems Engineer Senior</t>
  </si>
  <si>
    <t>$165,750.00 - $224,250.00</t>
  </si>
  <si>
    <t>Space Communications Payload Systems Engineer Lead</t>
  </si>
  <si>
    <t>https://jobs.boeing.com/job/los-angeles/space-communications-payload-systems-engineer-lead-or-senior/185/88882208560</t>
  </si>
  <si>
    <t>Space Communications Payload Systems Engineer Senior</t>
  </si>
  <si>
    <t>ASIC/FPGA Design Engineering Manager</t>
  </si>
  <si>
    <t>$141,100.00 - $190,900.00</t>
  </si>
  <si>
    <t>https://jobs.boeing.com/job/los-angeles/asic-fpga-design-engineering-manager/185/88873270256</t>
  </si>
  <si>
    <t>Associate Manufacturing Engineer - Electrical</t>
  </si>
  <si>
    <t>$89,250.00 - $120,750.00</t>
  </si>
  <si>
    <t>https://jobs.boeing.com/job/los-angeles/associate-manufacturing-engineer-electrical/185/88873255536</t>
  </si>
  <si>
    <t>Production Control Support (Materials Management)-2</t>
  </si>
  <si>
    <t>$73,100.00 - $90,300.00</t>
  </si>
  <si>
    <t>https://jobs.boeing.com/job/los-angeles/production-control-support-materials-management-2/185/88836294064</t>
  </si>
  <si>
    <t>Labor Relations Specialist Experienced</t>
  </si>
  <si>
    <t>$96,050.00 - $129,950.00</t>
  </si>
  <si>
    <t>https://jobs.boeing.com/job/los-angeles/labor-relations-specialist-experienced-or-senior/185/88699480320</t>
  </si>
  <si>
    <t>Labor Relations Specialist Senior</t>
  </si>
  <si>
    <t>$119,000.00 - $161,000.00</t>
  </si>
  <si>
    <t>Senior Business Operations Lead Level 4</t>
  </si>
  <si>
    <t>$120,700.00 - $163,300.00</t>
  </si>
  <si>
    <t>https://jobs.boeing.com/job/los-angeles/senior-business-operations-lead/185/88649527968</t>
  </si>
  <si>
    <t>Senior Business Operations Lead Level 5</t>
  </si>
  <si>
    <t>$151,300.00 - $204,700.00</t>
  </si>
  <si>
    <t>Systems Architect - Model Based Systems Engineer (MBSE) Experienced</t>
  </si>
  <si>
    <t>$114,750.00 - $155,250.00</t>
  </si>
  <si>
    <t>https://jobs.boeing.com/job/los-angeles/systems-architect-model-based-systems-engineer-mbse-experienced-or-lead/185/88616600832</t>
  </si>
  <si>
    <t>Systems Architect - Model Based Systems Engineer (MBSE) Lead</t>
  </si>
  <si>
    <t>Construction Project Management Specialist Associate</t>
  </si>
  <si>
    <t>$78,200.00 - $105,800.00</t>
  </si>
  <si>
    <t>https://jobs.boeing.com/job/los-angeles/construction-project-management-specialist-associate-or-experienced/185/88550945040</t>
  </si>
  <si>
    <t>Construction Project Management Specialist Experienced</t>
  </si>
  <si>
    <t>$96,900.00 - $131,100.00</t>
  </si>
  <si>
    <t>Space Communications and Sensor Payload Systems Engineer Associate</t>
  </si>
  <si>
    <t>$94,350.00 - $127,650.00</t>
  </si>
  <si>
    <t>https://jobs.boeing.com/job/los-angeles/space-communications-and-sensor-payload-systems-engineer-associate-experienced-lead/185/88387812512</t>
  </si>
  <si>
    <t>Space Communications and Sensor Payload Systems Engineer Experienced</t>
  </si>
  <si>
    <t>Space Communications and Sensor Payload Systems Engineer Lead</t>
  </si>
  <si>
    <t>Information Technology Manager</t>
  </si>
  <si>
    <t>$134,300.00 - $194,350.00</t>
  </si>
  <si>
    <t>https://jobs.boeing.com/job/los-angeles/information-technology-manager/185/88289454688</t>
  </si>
  <si>
    <t>Metrology Test &amp; Evaluation Engineer Associate</t>
  </si>
  <si>
    <t>https://jobs.boeing.com/job/los-angeles/metrology-test-and-evaluation-engineer-associate-or-mid-level/185/88280236704</t>
  </si>
  <si>
    <t>Metrology Test &amp; Evaluation Engineer Mid-Level</t>
  </si>
  <si>
    <t>$105,400.00 - $142,600.00</t>
  </si>
  <si>
    <t>Deputy Software Integrated Product Team (IPT) Senior</t>
  </si>
  <si>
    <t>$191,250.00 - $258,750.00</t>
  </si>
  <si>
    <t>https://jobs.boeing.com/job/los-angeles/deputy-software-integrated-product-team-ipt-lead/185/88168137504</t>
  </si>
  <si>
    <t>Deputy Software Integrated Product Team (IPT) Lead</t>
  </si>
  <si>
    <t>$234,600.00 - $317,000.00</t>
  </si>
  <si>
    <t>Mid-Level Quality Engineer</t>
  </si>
  <si>
    <t>https://jobs.boeing.com/job/los-angeles/mid-level-quality-engineer/185/87595311760</t>
  </si>
  <si>
    <t>Command &amp; Control Software Architect Lead</t>
  </si>
  <si>
    <t>$167,450.00 - $226,550.00</t>
  </si>
  <si>
    <t>https://jobs.boeing.com/job/los-angeles/command-and-control-software-architect/185/87496502816</t>
  </si>
  <si>
    <t>Command &amp; Control Software Architect Principal</t>
  </si>
  <si>
    <t>$193,800.00 - $262,200.00</t>
  </si>
  <si>
    <t>Thermal Lab Mechanical Engineer Mid-Level</t>
  </si>
  <si>
    <t>$102,000.00 - $138,000.00</t>
  </si>
  <si>
    <t>https://jobs.boeing.com/job/los-angeles/thermal-lab-mechanical-engineer-mid-level-or-senior/185/87013173456</t>
  </si>
  <si>
    <t>Thermal Lab Mechanical Engineer Senior</t>
  </si>
  <si>
    <t>$124,100.00 - $167,900.00</t>
  </si>
  <si>
    <t>Project Management Manager</t>
  </si>
  <si>
    <t>$119,850.00 - $162,150.00</t>
  </si>
  <si>
    <t>https://jobs.boeing.com/job/los-angeles/project-management-manager/185/86855949360</t>
  </si>
  <si>
    <t>Software Engineer Mid-Level</t>
  </si>
  <si>
    <t>$102,850.00 - $139,150.00</t>
  </si>
  <si>
    <t>https://jobs.boeing.com/job/los-angeles/software-engineer-mid-level-or-senior/185/86518141040</t>
  </si>
  <si>
    <t>Software Engineer Senior</t>
  </si>
  <si>
    <t>$128,350.00 - $173,650.00</t>
  </si>
  <si>
    <t>Mid-Level Facilities Mechanical HVAC Engineer</t>
  </si>
  <si>
    <t>$108,800.00 - $147,200.00</t>
  </si>
  <si>
    <t>https://jobs.boeing.com/job/los-angeles/mid-level-facilities-mechanical-hvac-engineer/185/85974563488</t>
  </si>
  <si>
    <t>Deputy Chief Engineer</t>
  </si>
  <si>
    <t>https://jobs.boeing.com/job/los-angeles/deputy-chief-engineer/185/85919688240</t>
  </si>
  <si>
    <t>Senior Software Engineers - Systems</t>
  </si>
  <si>
    <t>$136,850.00 - $185,150.00</t>
  </si>
  <si>
    <t>https://jobs.boeing.com/job/los-angeles/senior-software-engineers-systems/185/85327420816</t>
  </si>
  <si>
    <t>Experienced Mechanisms Engineer</t>
  </si>
  <si>
    <t>https://jobs.boeing.com/job/los-angeles/experienced-mechanisms-engineer/185/85174693168</t>
  </si>
  <si>
    <t>Software Engineer Developer Experienced El Segundo</t>
  </si>
  <si>
    <t>https://jobs.boeing.com/job/los-angeles/software-engineer-developer-experienced-or-senior-level/185/84808570608</t>
  </si>
  <si>
    <t>Software Engineer Developer Senior El Segundo</t>
  </si>
  <si>
    <t>Software Engineer Developer Experienced Seal Beach</t>
  </si>
  <si>
    <t>Software Engineer Developer Senior Seal Beach</t>
  </si>
  <si>
    <t>Design and Analysis Engineer (Communication / Network Systems Design) Senior Level</t>
  </si>
  <si>
    <t>https://jobs.boeing.com/job/los-angeles/design-and-analysis-engineer-communication-network-systems-design-senior-level/185/84712662448</t>
  </si>
  <si>
    <t>Satellite Data Systems Full-Stack Software Engineers Experienced</t>
  </si>
  <si>
    <t>https://jobs.boeing.com/job/los-angeles/satellite-data-systems-full-stack-software-engineers-experienced-senior/185/84641505568</t>
  </si>
  <si>
    <t>Satellite Data Systems Full-Stack Software Engineers Seniors</t>
  </si>
  <si>
    <t>Flight Software Engineer Associate</t>
  </si>
  <si>
    <t>$93,000.00 - $125,000.00</t>
  </si>
  <si>
    <t>https://jobs.boeing.com/job/los-angeles/flight-software-engineer-associate-experienced-senior/185/82529846960</t>
  </si>
  <si>
    <t>Flight Software Engineer Experienced</t>
  </si>
  <si>
    <t>$115,000.00 - $155,000.00</t>
  </si>
  <si>
    <t>Flight Software Engineer Senior</t>
  </si>
  <si>
    <t>$137,000.00 - $185,000.00</t>
  </si>
  <si>
    <t>DevSecOps Lead Software Engineer</t>
  </si>
  <si>
    <t>$130,900.00 - $177,100.00</t>
  </si>
  <si>
    <t>Software Process Lead Engineer</t>
  </si>
  <si>
    <t>https://jobs.boeing.com/job/los-angeles/software-process-lead-engineer/185/82479011488</t>
  </si>
  <si>
    <t>Thermal Lab Electrical Engineer Mid-Level</t>
  </si>
  <si>
    <t>$104,550.00 - $141,450.00</t>
  </si>
  <si>
    <t>https://jobs.boeing.com/job/los-angeles/thermal-lab-electrical-engineer-mid-level-or-senior/185/82397684656</t>
  </si>
  <si>
    <t>Thermal Lab Electrical Engineer Senior</t>
  </si>
  <si>
    <t>$126,650.00 - $171,350.00</t>
  </si>
  <si>
    <t>Experienced Hardware Subsystems Engineer</t>
  </si>
  <si>
    <t>https://jobs.boeing.com/job/los-angeles/experienced-hardware-subsystems-engineer/185/82200873952</t>
  </si>
  <si>
    <t>Senior Test Program Manager</t>
  </si>
  <si>
    <t>$166,600.00 - $225,400.00</t>
  </si>
  <si>
    <t>https://jobs.boeing.com/job/los-angeles/senior-test-program-manager/185/82146090160</t>
  </si>
  <si>
    <t xml:space="preserve">Computer Architect/Embedded Computing Systems Design Engineer Lead </t>
  </si>
  <si>
    <t>https://jobs.boeing.com/job/los-angeles/computer-architect-embedded-computing-systems-design-engineer-lead-or-senior/185/80908490880</t>
  </si>
  <si>
    <t>Computer Architect/Embedded Computing Systems Design Engineer Senior</t>
  </si>
  <si>
    <t>$155,550.00 - $210,450.00</t>
  </si>
  <si>
    <t>Solar Panel/Array Process Manufacturing Engineer Experienced</t>
  </si>
  <si>
    <t>https://jobs.boeing.com/job/los-angeles/solar-panel-array-process-manufacturing-engineer-experienced-or-senior/185/88019641792</t>
  </si>
  <si>
    <t>Solar Panel/Array Process Manufacturing Engineer Senior</t>
  </si>
  <si>
    <t>Business Analyst - Human Capital Management Experienced</t>
  </si>
  <si>
    <t>$92,650.00 - $134,550.00</t>
  </si>
  <si>
    <t>https://jobs.boeing.com/job/chicago/business-analyst-human-capital-management-experienced-or-senior/185/88873271008</t>
  </si>
  <si>
    <t>Business Analyst - Human Capital Management Senior</t>
  </si>
  <si>
    <t>$115,600.00 - $167,900.00</t>
  </si>
  <si>
    <t>Senior Project Management Specialist (Organizational Change Management)</t>
  </si>
  <si>
    <t>$130,900.00 - $204,700.00</t>
  </si>
  <si>
    <t>https://jobs.boeing.com/job/everett/senior-project-management-specialist-organizational-change-management/185/88868969856</t>
  </si>
  <si>
    <t>Software Asset Management Manager</t>
  </si>
  <si>
    <t>$124,950.00 - $194,350.00</t>
  </si>
  <si>
    <t>https://jobs.boeing.com/job/seattle/software-asset-management-manager/185/88868964048</t>
  </si>
  <si>
    <t>Data &amp; AI Platform Activation Senior Manager</t>
  </si>
  <si>
    <t>$174,250.00 - $251,850.00</t>
  </si>
  <si>
    <t>https://jobs.boeing.com/job/seattle/data-and-ai-platform-activation-senior-manager/185/88845954768</t>
  </si>
  <si>
    <t>Senior Compliance Lead Senior</t>
  </si>
  <si>
    <t>$113,050.00 - $163,300.00</t>
  </si>
  <si>
    <t>https://jobs.boeing.com/job/berkeley/senior-compliance-lead/185/88845953184</t>
  </si>
  <si>
    <t>Senior Compliance Lead Lead</t>
  </si>
  <si>
    <t>$141,000.00 - $204,700.00</t>
  </si>
  <si>
    <t>Experienced Facilities Analyst</t>
  </si>
  <si>
    <t>$86,700.00 - $123,350.00</t>
  </si>
  <si>
    <t>https://jobs.boeing.com/job/everett/experienced-facilities-analyst/185/88794868112</t>
  </si>
  <si>
    <t>Material Estimating and Pricing Specialist Experienced</t>
  </si>
  <si>
    <t>$102,600.00 - $125,400.00</t>
  </si>
  <si>
    <t>https://jobs.boeing.com/job/seal-beach/material-estimating-and-pricing-specialist-experienced-or-senior/185/88690713408</t>
  </si>
  <si>
    <t>Material Estimating and Pricing Specialist Senior</t>
  </si>
  <si>
    <t>$127,800.00 - $156,200.00</t>
  </si>
  <si>
    <t>https://jobs.boeing.com/job/seal-beach/material-estimating-and-pricing-specialist-experienced-or-senior/185/88690712096</t>
  </si>
  <si>
    <t>https://jobs.boeing.com/job/renton/experienced-facilities-analyst/185/88662877072</t>
  </si>
  <si>
    <t>Lead Program Administrator</t>
  </si>
  <si>
    <t>https://jobs.boeing.com/job/everett/lead-program-administrator/185/88616601792</t>
  </si>
  <si>
    <t>Mid-Level Security Design Specialist</t>
  </si>
  <si>
    <t>$97,750.00 - $152,950.00</t>
  </si>
  <si>
    <t>https://jobs.boeing.com/job/seattle/mid-level-security-design-specialist/185/88579071520</t>
  </si>
  <si>
    <t>Guidance Navigation &amp; Control Engineer Experienced</t>
  </si>
  <si>
    <t>https://jobs.boeing.com/job/seal-beach/guidance-navigation-and-control-engineer-experienced-lead-senior/185/88289459360</t>
  </si>
  <si>
    <t>Guidance Navigation &amp; Control Engineer Lead</t>
  </si>
  <si>
    <t>Guidance Navigation &amp; Control Engineer Senior</t>
  </si>
  <si>
    <t>Senior DevOps Developer Level 4</t>
  </si>
  <si>
    <t>$123,250.00 - $208,750.00</t>
  </si>
  <si>
    <t>https://jobs.boeing.com/job/seattle/senior-devops-developer/185/88139497392</t>
  </si>
  <si>
    <t>Senior DevOps Developer Level 5</t>
  </si>
  <si>
    <t>$148,750.00 - $251,250.00</t>
  </si>
  <si>
    <t>Senior Cloud Solutions Architect Level 5</t>
  </si>
  <si>
    <t>https://jobs.boeing.com/job/seattle/senior-cloud-solutions-architect/185/88139497376</t>
  </si>
  <si>
    <t>Senior Cloud Solutions Architect Level 6</t>
  </si>
  <si>
    <t>$174,250.00 - $293,750.00</t>
  </si>
  <si>
    <t>Senior Cloud Solutions Architect</t>
  </si>
  <si>
    <t>$124,950.00 - $211,250.00</t>
  </si>
  <si>
    <t>https://jobs.boeing.com/job/seattle/senior-cloud-solutions-architect/185/88139497360</t>
  </si>
  <si>
    <t>https://jobs.boeing.com/job/seattle/senior-cloud-solutions-architect/185/88139497344</t>
  </si>
  <si>
    <t>Senior Machine Learning Architect Level 5</t>
  </si>
  <si>
    <t>https://jobs.boeing.com/job/seattle/senior-machine-learning-architect/185/88139497328</t>
  </si>
  <si>
    <t>Senior Machine Learning Architect Level 6</t>
  </si>
  <si>
    <t>Senior Software Architect, Space Mission Systems</t>
  </si>
  <si>
    <t>$170,000.00 - $246,100.00</t>
  </si>
  <si>
    <t>https://jobs.boeing.com/job/colorado-springs/senior-software-architect-space-mission-systems/185/88065177104</t>
  </si>
  <si>
    <t>Senior Security Design Specialist</t>
  </si>
  <si>
    <t>$146,200.00 - $227,700.00</t>
  </si>
  <si>
    <t>https://jobs.boeing.com/job/seattle/senior-security-design-specialist/185/88015376800</t>
  </si>
  <si>
    <t>Enterprise Human Factors Investigator Mid-Level</t>
  </si>
  <si>
    <t>$107,100.00 - $155,250.00</t>
  </si>
  <si>
    <t>https://jobs.boeing.com/job/berkeley/enterprise-human-factors-investigator-mid-level-lead-or-senior/185/89064270448</t>
  </si>
  <si>
    <t>Enterprise Human Factors Investigator Lead</t>
  </si>
  <si>
    <t>$129,200.00 - $187,450.00</t>
  </si>
  <si>
    <t>Enterprise Human Factors Investigator Senior</t>
  </si>
  <si>
    <t>$154,700.00 - $224,250.00</t>
  </si>
  <si>
    <t>Senior Quality Engineer (Regulatory Regulations)</t>
  </si>
  <si>
    <t>$116,450.00 - $157,550.00</t>
  </si>
  <si>
    <t>https://jobs.boeing.com/job/seal-beach/senior-quality-engineer-regulatory-regulations/185/89064266560</t>
  </si>
  <si>
    <t>Associate Quality Systems Specialist (Regulatory Regulations)</t>
  </si>
  <si>
    <t>$77,350.00 - $104,650.00</t>
  </si>
  <si>
    <t>https://jobs.boeing.com/job/seal-beach/associate-quality-systems-specialist-regulatory-regulations/185/89064266544</t>
  </si>
  <si>
    <t>Extended Operations Performance Standards (ETOPS) Engineer Level 3</t>
  </si>
  <si>
    <t>https://jobs.boeing.com/job/long-beach/extended-operations-performance-standards-etops-engineer-mid-level-or-senior/185/88873269088</t>
  </si>
  <si>
    <t>Extended Operations Performance Standards (ETOPS) Engineer Level 4</t>
  </si>
  <si>
    <t>Extended Operations Performance Standards (ETOPS) Engineer Level 5</t>
  </si>
  <si>
    <t xml:space="preserve">Systems Engineering Manager (Systems Engineering Management) </t>
  </si>
  <si>
    <t>$147,050.00 - $198,950.00</t>
  </si>
  <si>
    <t>https://jobs.boeing.com/job/long-beach/systems-engineering-manager-systems-engineering-management/185/88873266544</t>
  </si>
  <si>
    <t>Associate Supply Chain Specialist (Asset Manager)</t>
  </si>
  <si>
    <t>$73,950.00 - $100,050.00</t>
  </si>
  <si>
    <t>https://jobs.boeing.com/job/long-beach/associate-supply-chain-specialist-asset-manager/185/88845953696</t>
  </si>
  <si>
    <t>Experienced Procurement Analyst</t>
  </si>
  <si>
    <t>$90,950.00 - $123,050.00</t>
  </si>
  <si>
    <t>https://jobs.boeing.com/job/long-beach/experienced-procurement-analyst/185/88699480256</t>
  </si>
  <si>
    <t>Software Project Engineering Lead</t>
  </si>
  <si>
    <t>$212,500.00 - $287,500.00</t>
  </si>
  <si>
    <t>https://jobs.boeing.com/job/long-beach/software-project-engineering-lead/185/88588098736</t>
  </si>
  <si>
    <t>Software Emgineer - Embedded (Embedded) Level 2</t>
  </si>
  <si>
    <t>https://jobs.boeing.com/job/long-beach/software-engineer-embedded-embedded/185/88401179792</t>
  </si>
  <si>
    <t>Software Emgineer - Embedded (Embedded) Level 3</t>
  </si>
  <si>
    <t>$131,750.00 - $178,250.00</t>
  </si>
  <si>
    <t>Senior Service Reliability Specialist</t>
  </si>
  <si>
    <t>$144,500.00 - $209,300.00</t>
  </si>
  <si>
    <t>https://jobs.boeing.com/job/tukwila/senior-service-reliability-specialist/185/88065182720</t>
  </si>
  <si>
    <t>Quality Systems Specialist (Quality Systems Specialist - General) Level 3</t>
  </si>
  <si>
    <t>$86,700.00 - $117,300.00</t>
  </si>
  <si>
    <t>https://jobs.boeing.com/job/englewood/quality-systems-specialist-quality-systems-specialist-general/185/87224721216</t>
  </si>
  <si>
    <t>Quality Systems Specialist (Quality Systems Specialist - General) Level 4</t>
  </si>
  <si>
    <t>$107,100.00 - $144,900.00</t>
  </si>
  <si>
    <t>Design and Analysis Engineer (Electronic Sys Design &amp; Analy)</t>
  </si>
  <si>
    <t>https://jobs.boeing.com/job/long-beach/design-and-analysis-engineer-electronic-sys-design-and-analy/185/86998772016</t>
  </si>
  <si>
    <t xml:space="preserve">Project Management Specialist - Contractual &amp; Data Services </t>
  </si>
  <si>
    <t>$80,000.00 - $86,500.00</t>
  </si>
  <si>
    <t>https://jobs.boeing.com/job/seal-beach/project-management-specialist-contractual-and-data-services/185/89064272480</t>
  </si>
  <si>
    <t>Experienced Estimating &amp; Pricing Specialist</t>
  </si>
  <si>
    <t>https://jobs.boeing.com/job/seal-beach/experienced-estimating-and-pricing-specialist/185/88882208704</t>
  </si>
  <si>
    <t>Senior Solution Cloud Architect</t>
  </si>
  <si>
    <t>https://jobs.boeing.com/job/seattle/senior-solution-cloud-architect/185/88873264480</t>
  </si>
  <si>
    <t>Senior Manager - Environmental Remediation</t>
  </si>
  <si>
    <t>$174,250.00 - $235,750.00</t>
  </si>
  <si>
    <t>https://jobs.boeing.com/job/seal-beach/senior-manager-environmental-remediation/185/88868974368</t>
  </si>
  <si>
    <t>Senior Legal Analyst Level 4</t>
  </si>
  <si>
    <t>$118,150.00 - $171,350.00</t>
  </si>
  <si>
    <t>https://jobs.boeing.com/job/seattle/senior-legal-analyst/185/88690713552</t>
  </si>
  <si>
    <t>Senior Legal Analyst Level 5</t>
  </si>
  <si>
    <t>$136,000.00 - $196,650.00</t>
  </si>
  <si>
    <t>Reliability Data Analytics Engineer Level 2</t>
  </si>
  <si>
    <t>https://jobs.boeing.com/job/seal-beach/reliability-data-analytics-engineer-associate-or-mid-level/185/88662885424</t>
  </si>
  <si>
    <t>Reliability Data Analytics Engineer Level 3</t>
  </si>
  <si>
    <t>Senior Versatile Technologist</t>
  </si>
  <si>
    <t>$112,200.00 - $162,150.00</t>
  </si>
  <si>
    <t>https://jobs.boeing.com/job/mesa/senior-versatile-technologist/185/88616597056</t>
  </si>
  <si>
    <t>Agile Software Engineer (Experienced)</t>
  </si>
  <si>
    <t>$119,000.00 - $172,500.00</t>
  </si>
  <si>
    <t>https://jobs.boeing.com/job/herndon/agile-software-engineer-experienced/185/88579078704</t>
  </si>
  <si>
    <t>$119,750.00 - $172,500.00</t>
  </si>
  <si>
    <t>https://jobs.boeing.com/job/herndon/agile-software-engineer-experienced-senior/185/88579078560</t>
  </si>
  <si>
    <t>Agile Software Engineer (Senior)</t>
  </si>
  <si>
    <t>$146,200.00 - $211.600.00</t>
  </si>
  <si>
    <t>Mid-Level Integrated Planning and Scheduling Analyst Seal Beach</t>
  </si>
  <si>
    <t>https://jobs.boeing.com/job/titusville/mid-level-integrated-planning-and-scheduling-analyst/185/88579078240</t>
  </si>
  <si>
    <t>Experienced Contracts Paralegal</t>
  </si>
  <si>
    <t>https://jobs.boeing.com/job/seattle/experienced-contracts-paralegal/185/88429716320</t>
  </si>
  <si>
    <t>Product Review Engineer</t>
  </si>
  <si>
    <t>https://jobs.boeing.com/job/seal-beach/product-review-engineer/185/88118333248</t>
  </si>
  <si>
    <t>Programmer Analyst</t>
  </si>
  <si>
    <t>https://jobs.boeing.com/job/seal-beach/programmer-analyst/185/88102127424</t>
  </si>
  <si>
    <t>Senior Project Engineer - Service Related Problems Level 4</t>
  </si>
  <si>
    <t>https://jobs.boeing.com/job/seal-beach/senior-project-engineer-service-related-problems-srp/185/88065169312</t>
  </si>
  <si>
    <t>Senior Project Engineer - Service Related Problems Level 5</t>
  </si>
  <si>
    <t>$166,750.00 - $224,250.00</t>
  </si>
  <si>
    <t>https://jobs.boeing.com/job/seal-beach/software-engineer-developer-mid-level-senior/185/83041569232</t>
  </si>
  <si>
    <t>Software Engineer Developer Mid-Level</t>
  </si>
  <si>
    <t>Software Engineer Developer Senior</t>
  </si>
  <si>
    <t>Facilities Project Planner Level 3</t>
  </si>
  <si>
    <t>$92,650.00 - $125,350.00</t>
  </si>
  <si>
    <t>https://jobs.boeing.com/job/huntington-beach/facilities-project-planner-mid-level-or-senior/185/88612175328</t>
  </si>
  <si>
    <t>Facilities Project Planner Level 4</t>
  </si>
  <si>
    <t>Senior Finance Manager</t>
  </si>
  <si>
    <t>$177,650.00 - $240,350.00</t>
  </si>
  <si>
    <t>https://jobs.boeing.com/job/huntington-beach/senior-finance-manager/185/88438685856</t>
  </si>
  <si>
    <t>SAP Technical Project Lead Level 4</t>
  </si>
  <si>
    <t>$117,300.00 - $170,200.00</t>
  </si>
  <si>
    <t>https://jobs.boeing.com/job/seattle/sap-technical-project-lead/185/88019644176</t>
  </si>
  <si>
    <t>SAP Technical Project Lead Level 5</t>
  </si>
  <si>
    <t>$140,250.00 - $203,550.00</t>
  </si>
  <si>
    <t>Senior Software Engineer Huntington Beach</t>
  </si>
  <si>
    <t>https://jobs.boeing.com/job/north-charleston/senior-software-engineer/185/84060737584</t>
  </si>
  <si>
    <t>Senior Software Engineer Berkeley</t>
  </si>
  <si>
    <t>$127,500.00 - $172,500.00</t>
  </si>
  <si>
    <t>Business Development Manager</t>
  </si>
  <si>
    <t>$152,000.00 - $195,000.00</t>
  </si>
  <si>
    <t>https://jobs.boeing.com/job/maryland-heights/business-development-manager/185/88052118992</t>
  </si>
  <si>
    <t>Software Security Engineer Experienced</t>
  </si>
  <si>
    <t>$94,350.00 - $146,050.00</t>
  </si>
  <si>
    <t>https://jobs.boeing.com/job/orlando/software-security-engineer-experienced-or-senior-virtual/185/87224725248</t>
  </si>
  <si>
    <t>Software Security Engineer Senior</t>
  </si>
  <si>
    <t>$114,750.00 - $178,250.00</t>
  </si>
  <si>
    <t>Yocto Linux Software Engineer (Virtual) Mid-Level</t>
  </si>
  <si>
    <t>$102,850.00 - $159,850.00</t>
  </si>
  <si>
    <t>https://jobs.boeing.com/job/mesa/yocto-linux-mid-level-senior-software-engineer-virtual/185/86866225168</t>
  </si>
  <si>
    <t>Yocto Linux Software Engineer (Virtual) Senior</t>
  </si>
  <si>
    <t>$123,250.00 - $192,050.00</t>
  </si>
  <si>
    <t>Monday Day 1</t>
  </si>
  <si>
    <t>Notes</t>
  </si>
  <si>
    <t>Number of Postings</t>
  </si>
  <si>
    <t>Company Name</t>
  </si>
  <si>
    <t>All provided active job postings are in the last 12 months</t>
  </si>
  <si>
    <t>Complete</t>
  </si>
  <si>
    <t>Handshake companies, including Tesla, ResMed, Oldcastle Infrastructure, General Atomics, and ASML, had not provided salaries in their postings</t>
  </si>
  <si>
    <t>Tesla, ResMed, Oldcastyle, General Atomics, ASML showed up in Handshake Report Filtering, Procter &amp; Gamble did not but had Handshake listings</t>
  </si>
  <si>
    <t>None posted on Handshake, posted on website, the following companies for day 2 will be all through website</t>
  </si>
  <si>
    <t>TODAY TOTAL</t>
  </si>
  <si>
    <t>Tuesday Day 2</t>
  </si>
  <si>
    <t>For some, hourly wage was given, salary was calculated by hourly wage * 2080 hours to simulate an annual salary assuming a standard 40 hour work week</t>
  </si>
  <si>
    <t>LiDestri Food &amp; Drink</t>
  </si>
  <si>
    <r>
      <rPr>
        <color rgb="FF1155CC"/>
        <u/>
      </rPr>
      <t>https://lidestrifoods.com/careers</t>
    </r>
    <r>
      <rPr/>
      <t xml:space="preserve"> None listed in Fresno</t>
    </r>
  </si>
  <si>
    <t>Busseto Foods, Inc.</t>
  </si>
  <si>
    <r>
      <rPr>
        <color rgb="FF1155CC"/>
        <u/>
      </rPr>
      <t>https://busseto.com/careers/career-opportunities</t>
    </r>
    <r>
      <rPr/>
      <t xml:space="preserve"> has no listings </t>
    </r>
  </si>
  <si>
    <r>
      <rPr>
        <color rgb="FF1155CC"/>
        <u/>
      </rPr>
      <t>https://jobs.boeing.com/search-jobs/Los%20Angeles%2C%20CA/185/4/6252001-5332921-5368381-5368361/34x05223/-118x24368/50/2</t>
    </r>
    <r>
      <rPr>
        <color rgb="FF000000"/>
      </rPr>
      <t xml:space="preserve"> 87</t>
    </r>
  </si>
  <si>
    <t>RCM Industries</t>
  </si>
  <si>
    <r>
      <rPr>
        <color rgb="FF1155CC"/>
        <u/>
      </rPr>
      <t>https://www.paycomonline.net/v4/ats/web.php/jobs</t>
    </r>
    <r>
      <rPr/>
      <t xml:space="preserve"> None listed in Los Angeles region</t>
    </r>
  </si>
  <si>
    <t>Spreckels Sugar Co., Inc.</t>
  </si>
  <si>
    <r>
      <rPr>
        <color rgb="FF1155CC"/>
        <u/>
      </rPr>
      <t>https://recruiting2.ultipro.com/SOU1047SMBSC/JobBoard/660f759a-4cc9-435c-bbe9-4bf35aecfda4/?q=&amp;o=postedDateDesc</t>
    </r>
    <r>
      <rPr>
        <color rgb="FF000000"/>
      </rPr>
      <t xml:space="preserve"> 0 opportunities available</t>
    </r>
  </si>
  <si>
    <t>Statevolt</t>
  </si>
  <si>
    <r>
      <rPr>
        <color rgb="FF1155CC"/>
        <u/>
      </rPr>
      <t>https://statevolt.com/careers/</t>
    </r>
    <r>
      <rPr>
        <color rgb="FF000000"/>
      </rPr>
      <t xml:space="preserve"> would have to contact a Statevolt representative to find current openings and application process</t>
    </r>
  </si>
  <si>
    <t>Rayotek Scientific, Inc.</t>
  </si>
  <si>
    <r>
      <rPr>
        <color rgb="FF1155CC"/>
        <u/>
      </rPr>
      <t>https://www.linkedin.com/company/rayotek-scientific-llc/jobs/</t>
    </r>
    <r>
      <rPr>
        <color rgb="FF000000"/>
      </rPr>
      <t xml:space="preserve"> no jobs posted</t>
    </r>
  </si>
  <si>
    <t>Tolar Manufacturing Company</t>
  </si>
  <si>
    <r>
      <rPr>
        <color rgb="FF1155CC"/>
        <u/>
      </rPr>
      <t>https://tolarmfg.com/who-we-are/work-for-us/</t>
    </r>
    <r>
      <rPr>
        <color rgb="FF000000"/>
      </rPr>
      <t xml:space="preserve"> any open positions aren't listed</t>
    </r>
  </si>
  <si>
    <t>Plum Organics</t>
  </si>
  <si>
    <r>
      <rPr>
        <color rgb="FF1155CC"/>
        <u/>
      </rPr>
      <t>https://www.plumorganics.com/?s=careers</t>
    </r>
    <r>
      <rPr>
        <color rgb="FF000000"/>
      </rPr>
      <t xml:space="preserve"> no results found</t>
    </r>
  </si>
  <si>
    <t>Fast Trak Fabrication</t>
  </si>
  <si>
    <t>None found</t>
  </si>
  <si>
    <r>
      <rPr/>
      <t xml:space="preserve">19 </t>
    </r>
    <r>
      <rPr>
        <color rgb="FF1155CC"/>
        <u/>
      </rPr>
      <t>https://jobs.ashbyhq.com/graymatter-robotics</t>
    </r>
  </si>
  <si>
    <t>For reproducibility and workflow, Additional Notes + Log was added for explanations, Data Dictionary for understanding variables, and calculated salary if given hourly wage</t>
  </si>
  <si>
    <t>TOTAL TOTAL</t>
  </si>
  <si>
    <t>Name of Variable</t>
  </si>
  <si>
    <t>Description</t>
  </si>
  <si>
    <t>Type</t>
  </si>
  <si>
    <t xml:space="preserve">The name of the employer </t>
  </si>
  <si>
    <t>String</t>
  </si>
  <si>
    <t>The job title</t>
  </si>
  <si>
    <t>The provided (or calculated) salary in the posting if applicable; for data science purposes, we won't be using this column; it is purely informational</t>
  </si>
  <si>
    <t>$, double</t>
  </si>
  <si>
    <t>The provided (or calculated) salary lowest end range, or if the salary is a fixed number, then this is where that value goes</t>
  </si>
  <si>
    <t>The provided (or calculated) salary highest end range; this column is only helpful if salary_min is not equal to salary_max, since this is for ranges, not a fixed salary</t>
  </si>
  <si>
    <t>If this information was provided by either Handshake or directly from the careers website</t>
  </si>
  <si>
    <t>Link to job posting (if applicable) for reference</t>
  </si>
  <si>
    <t>Link to employers careers website</t>
  </si>
  <si>
    <t>References</t>
  </si>
  <si>
    <t>Position in Sheet 1</t>
  </si>
  <si>
    <t>Hourly Wage</t>
  </si>
  <si>
    <t>Salary End</t>
  </si>
  <si>
    <t>Calculation Cell</t>
  </si>
  <si>
    <t>Usable</t>
  </si>
  <si>
    <t>Min/Max</t>
  </si>
  <si>
    <t>Min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</si>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</sst>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m/d/yyyy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sz val="10.0"/>
      <color rgb="FF4F5666"/>
      <name val="Roboto"/>
    </font>
    <font>
      <u/>
      <color rgb="FF0000FF"/>
      <name val="Roboto"/>
    </font>
    <font>
      <color rgb="FFFFFFFF"/>
      <name val="Arial"/>
    </font>
    <font>
      <b/>
      <color theme="1"/>
      <name val="Arial"/>
      <scheme val="minor"/>
    </font>
    <font>
      <color rgb="FFFFFFFF"/>
      <name val="Arial"/>
      <scheme val="minor"/>
    </font>
    <font>
      <u/>
      <color rgb="FF0000FF"/>
    </font>
    <font>
      <b/>
      <color rgb="FF000000"/>
      <name val="Arial"/>
    </font>
    <font>
      <color rgb="FF000000"/>
      <name val="Arial"/>
      <scheme val="minor"/>
    </font>
    <font>
      <color rgb="FF00000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2" fontId="5" numFmtId="0" xfId="0" applyAlignment="1" applyFill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2" fontId="1" numFmtId="164" xfId="0" applyAlignment="1" applyFont="1" applyNumberFormat="1">
      <alignment horizontal="left" readingOrder="0" shrinkToFit="0" vertical="center" wrapText="0"/>
    </xf>
    <xf borderId="0" fillId="3" fontId="7" numFmtId="166" xfId="0" applyAlignment="1" applyFill="1" applyFont="1" applyNumberFormat="1">
      <alignment horizontal="center" vertical="bottom"/>
    </xf>
    <xf borderId="0" fillId="3" fontId="7" numFmtId="0" xfId="0" applyAlignment="1" applyFont="1">
      <alignment horizontal="center" readingOrder="0" vertical="bottom"/>
    </xf>
    <xf borderId="0" fillId="0" fontId="8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4" fontId="9" numFmtId="0" xfId="0" applyAlignment="1" applyFill="1" applyFont="1">
      <alignment readingOrder="0"/>
    </xf>
    <xf borderId="0" fillId="2" fontId="9" numFmtId="0" xfId="0" applyAlignment="1" applyFont="1">
      <alignment readingOrder="0"/>
    </xf>
    <xf borderId="0" fillId="3" fontId="7" numFmtId="166" xfId="0" applyAlignment="1" applyFont="1" applyNumberFormat="1">
      <alignment horizontal="center" readingOrder="0" vertical="bottom"/>
    </xf>
    <xf borderId="0" fillId="0" fontId="10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11" numFmtId="0" xfId="0" applyAlignment="1" applyFont="1">
      <alignment horizontal="center" readingOrder="0" vertical="bottom"/>
    </xf>
    <xf borderId="0" fillId="2" fontId="12" numFmtId="0" xfId="0" applyAlignment="1" applyFont="1">
      <alignment readingOrder="0"/>
    </xf>
    <xf borderId="0" fillId="2" fontId="13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2" fontId="11" numFmtId="0" xfId="0" applyAlignment="1" applyFont="1">
      <alignment horizontal="left" readingOrder="0" vertical="bottom"/>
    </xf>
    <xf borderId="0" fillId="0" fontId="8" numFmtId="164" xfId="0" applyAlignment="1" applyFont="1" applyNumberFormat="1">
      <alignment horizontal="left" readingOrder="0"/>
    </xf>
    <xf borderId="0" fillId="0" fontId="8" numFmtId="0" xfId="0" applyAlignment="1" applyFont="1">
      <alignment horizontal="left" readingOrder="0"/>
    </xf>
    <xf borderId="0" fillId="2" fontId="1" numFmtId="0" xfId="0" applyAlignment="1" applyFont="1">
      <alignment horizontal="left" readingOrder="0"/>
    </xf>
    <xf borderId="0" fillId="2" fontId="14" numFmtId="0" xfId="0" applyAlignment="1" applyFont="1">
      <alignment horizontal="left" readingOrder="0" vertical="bottom"/>
    </xf>
    <xf borderId="0" fillId="5" fontId="14" numFmtId="164" xfId="0" applyAlignment="1" applyFill="1" applyFont="1" applyNumberFormat="1">
      <alignment horizontal="left" vertical="bottom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left"/>
    </xf>
    <xf borderId="0" fillId="2" fontId="1" numFmtId="164" xfId="0" applyAlignment="1" applyFont="1" applyNumberFormat="1">
      <alignment horizontal="left" readingOrder="0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Manufacturing Inform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alculated Salary (If Hourly Wa-style">
      <tableStyleElement dxfId="3" type="firstRowStripe"/>
      <tableStyleElement dxfId="2" type="secondRowStripe"/>
    </tableStyle>
    <tableStyle count="2" pivot="0" name="Calculated Salary (If Hourly Wa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443" displayName="Manufacturing_Information" name="Manufacturing_Information" id="1">
  <tableColumns count="8">
    <tableColumn name="employer_name" id="1"/>
    <tableColumn name="job_title" id="2"/>
    <tableColumn name="salary_raw" id="3"/>
    <tableColumn name="salary_min" id="4"/>
    <tableColumn name="salary_max" id="5"/>
    <tableColumn name="platform" id="6"/>
    <tableColumn name="position_link" id="7"/>
    <tableColumn name="career_website" id="8"/>
  </tableColumns>
  <tableStyleInfo name="Manufacturing Information-style" showColumnStripes="0" showFirstColumn="1" showLastColumn="1" showRowStripes="1"/>
</table>
</file>

<file path=xl/tables/table2.xml><?xml version="1.0" encoding="utf-8"?>
<table xmlns="http://schemas.openxmlformats.org/spreadsheetml/2006/main" headerRowCount="0" ref="A3:E13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Calculated Salary (If Hourly Wa-style" showColumnStripes="0" showFirstColumn="1" showLastColumn="1" showRowStripes="1"/>
</table>
</file>

<file path=xl/tables/table3.xml><?xml version="1.0" encoding="utf-8"?>
<table xmlns="http://schemas.openxmlformats.org/spreadsheetml/2006/main" headerRowCount="0" ref="C14:C35" displayName="Table_2" name="Table_2" id="3">
  <tableColumns count="1">
    <tableColumn name="Column1" id="1"/>
  </tableColumns>
  <tableStyleInfo name="Calculated Salary (If Hourly W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areers.dexcom.com/careers/index" TargetMode="External"/><Relationship Id="rId194" Type="http://schemas.openxmlformats.org/officeDocument/2006/relationships/hyperlink" Target="https://careers.dexcom.com/careers/index" TargetMode="External"/><Relationship Id="rId193" Type="http://schemas.openxmlformats.org/officeDocument/2006/relationships/hyperlink" Target="https://careers.dexcom.com/careers?domain=dexcom.com&amp;start=20&amp;location=San+Diego%2C+CA%2C+United+States&amp;pid=37796900&amp;sort_by=distance&amp;filter_distance=80&amp;filter_include_remote=1" TargetMode="External"/><Relationship Id="rId192" Type="http://schemas.openxmlformats.org/officeDocument/2006/relationships/hyperlink" Target="https://careers.dexcom.com/careers/index" TargetMode="External"/><Relationship Id="rId191" Type="http://schemas.openxmlformats.org/officeDocument/2006/relationships/hyperlink" Target="https://careers.dexcom.com/careers?domain=dexcom.com&amp;start=10&amp;location=San+Diego%2C+CA%2C+United+States&amp;pid=38545958&amp;sort_by=distance&amp;filter_distance=80&amp;filter_include_remote=1" TargetMode="External"/><Relationship Id="rId187" Type="http://schemas.openxmlformats.org/officeDocument/2006/relationships/hyperlink" Target="https://careers.dexcom.com/careers?domain=dexcom.com&amp;start=10&amp;location=San+Diego%2C+CA%2C+United+States&amp;pid=38506365&amp;sort_by=distance&amp;filter_distance=80&amp;filter_include_remote=1" TargetMode="External"/><Relationship Id="rId186" Type="http://schemas.openxmlformats.org/officeDocument/2006/relationships/hyperlink" Target="https://careers.dexcom.com/careers/index" TargetMode="External"/><Relationship Id="rId185" Type="http://schemas.openxmlformats.org/officeDocument/2006/relationships/hyperlink" Target="https://careers.dexcom.com/careers?domain=dexcom.com&amp;start=10&amp;location=San+Diego%2C+CA%2C+United+States&amp;pid=38447070&amp;sort_by=distance&amp;filter_distance=80&amp;filter_include_remote=1" TargetMode="External"/><Relationship Id="rId184" Type="http://schemas.openxmlformats.org/officeDocument/2006/relationships/hyperlink" Target="https://careers.dexcom.com/careers/index" TargetMode="External"/><Relationship Id="rId189" Type="http://schemas.openxmlformats.org/officeDocument/2006/relationships/hyperlink" Target="https://careers.dexcom.com/careers?domain=dexcom.com&amp;start=10&amp;location=San+Diego%2C+CA%2C+United+States&amp;pid=38517167&amp;sort_by=distance&amp;filter_distance=80&amp;filter_include_remote=1" TargetMode="External"/><Relationship Id="rId188" Type="http://schemas.openxmlformats.org/officeDocument/2006/relationships/hyperlink" Target="https://careers.dexcom.com/careers/index" TargetMode="External"/><Relationship Id="rId183" Type="http://schemas.openxmlformats.org/officeDocument/2006/relationships/hyperlink" Target="https://careers.dexcom.com/careers?domain=dexcom.com&amp;start=10&amp;location=San+Diego%2C+CA%2C+United+States&amp;pid=38431267&amp;sort_by=distance&amp;filter_distance=80&amp;filter_include_remote=1" TargetMode="External"/><Relationship Id="rId182" Type="http://schemas.openxmlformats.org/officeDocument/2006/relationships/hyperlink" Target="https://careers.dexcom.com/careers/index" TargetMode="External"/><Relationship Id="rId181" Type="http://schemas.openxmlformats.org/officeDocument/2006/relationships/hyperlink" Target="https://careers.dexcom.com/careers?domain=dexcom.com&amp;start=10&amp;location=San+Diego%2C+CA%2C+United+States&amp;pid=38423561&amp;sort_by=distance&amp;filter_distance=80&amp;filter_include_remote=1" TargetMode="External"/><Relationship Id="rId180" Type="http://schemas.openxmlformats.org/officeDocument/2006/relationships/hyperlink" Target="https://careers.dexcom.com/careers/index" TargetMode="External"/><Relationship Id="rId176" Type="http://schemas.openxmlformats.org/officeDocument/2006/relationships/hyperlink" Target="https://careers.dexcom.com/careers/index" TargetMode="External"/><Relationship Id="rId297" Type="http://schemas.openxmlformats.org/officeDocument/2006/relationships/hyperlink" Target="https://careers.dexcom.com/careers?domain=dexcom.com&amp;start=70&amp;location=San+Diego%2C+CA%2C+United+States&amp;pid=30664536&amp;sort_by=distance&amp;filter_distance=80&amp;filter_include_remote=1" TargetMode="External"/><Relationship Id="rId175" Type="http://schemas.openxmlformats.org/officeDocument/2006/relationships/hyperlink" Target="https://careers.dexcom.com/careers?domain=dexcom.com&amp;start=10&amp;location=San+Diego%2C+CA%2C+United+States&amp;pid=38328582&amp;sort_by=distance&amp;filter_distance=80&amp;filter_include_remote=1" TargetMode="External"/><Relationship Id="rId296" Type="http://schemas.openxmlformats.org/officeDocument/2006/relationships/hyperlink" Target="https://careers.dexcom.com/careers/index" TargetMode="External"/><Relationship Id="rId174" Type="http://schemas.openxmlformats.org/officeDocument/2006/relationships/hyperlink" Target="https://careers.dexcom.com/careers/index" TargetMode="External"/><Relationship Id="rId295" Type="http://schemas.openxmlformats.org/officeDocument/2006/relationships/hyperlink" Target="https://careers.dexcom.com/careers?domain=dexcom.com&amp;start=70&amp;location=San+Diego%2C+CA%2C+United+States&amp;pid=38840757&amp;sort_by=distance&amp;filter_distance=80&amp;filter_include_remote=1" TargetMode="External"/><Relationship Id="rId173" Type="http://schemas.openxmlformats.org/officeDocument/2006/relationships/hyperlink" Target="https://careers.dexcom.com/careers?domain=dexcom.com&amp;start=10&amp;location=San+Diego%2C+CA%2C+United+States&amp;pid=38327758&amp;sort_by=distance&amp;filter_distance=80&amp;filter_include_remote=1" TargetMode="External"/><Relationship Id="rId294" Type="http://schemas.openxmlformats.org/officeDocument/2006/relationships/hyperlink" Target="https://careers.dexcom.com/careers/index" TargetMode="External"/><Relationship Id="rId179" Type="http://schemas.openxmlformats.org/officeDocument/2006/relationships/hyperlink" Target="https://careers.dexcom.com/careers?domain=dexcom.com&amp;start=10&amp;location=San+Diego%2C+CA%2C+United+States&amp;pid=38423560&amp;sort_by=distance&amp;filter_distance=80&amp;filter_include_remote=1" TargetMode="External"/><Relationship Id="rId178" Type="http://schemas.openxmlformats.org/officeDocument/2006/relationships/hyperlink" Target="https://careers.dexcom.com/careers/index" TargetMode="External"/><Relationship Id="rId299" Type="http://schemas.openxmlformats.org/officeDocument/2006/relationships/hyperlink" Target="https://careers.dexcom.com/careers?domain=dexcom.com&amp;start=70&amp;location=San+Diego%2C+CA%2C+United+States&amp;pid=39063071&amp;sort_by=distance&amp;filter_distance=80&amp;filter_include_remote=1" TargetMode="External"/><Relationship Id="rId177" Type="http://schemas.openxmlformats.org/officeDocument/2006/relationships/hyperlink" Target="https://careers.dexcom.com/careers?domain=dexcom.com&amp;start=10&amp;location=San+Diego%2C+CA%2C+United+States&amp;pid=38353575&amp;sort_by=distance&amp;filter_distance=80&amp;filter_include_remote=1" TargetMode="External"/><Relationship Id="rId298" Type="http://schemas.openxmlformats.org/officeDocument/2006/relationships/hyperlink" Target="https://careers.dexcom.com/careers/index" TargetMode="External"/><Relationship Id="rId198" Type="http://schemas.openxmlformats.org/officeDocument/2006/relationships/hyperlink" Target="https://careers.dexcom.com/careers/index" TargetMode="External"/><Relationship Id="rId197" Type="http://schemas.openxmlformats.org/officeDocument/2006/relationships/hyperlink" Target="https://careers.dexcom.com/careers?domain=dexcom.com&amp;start=20&amp;location=San+Diego%2C+CA%2C+United+States&amp;pid=37817755&amp;sort_by=distance&amp;filter_distance=80&amp;filter_include_remote=1" TargetMode="External"/><Relationship Id="rId196" Type="http://schemas.openxmlformats.org/officeDocument/2006/relationships/hyperlink" Target="https://careers.dexcom.com/careers/index" TargetMode="External"/><Relationship Id="rId195" Type="http://schemas.openxmlformats.org/officeDocument/2006/relationships/hyperlink" Target="https://careers.dexcom.com/careers?domain=dexcom.com&amp;start=20&amp;location=San+Diego%2C+CA%2C+United+States&amp;pid=37805660&amp;sort_by=distance&amp;filter_distance=80&amp;filter_include_remote=1" TargetMode="External"/><Relationship Id="rId199" Type="http://schemas.openxmlformats.org/officeDocument/2006/relationships/hyperlink" Target="https://careers.dexcom.com/careers?domain=dexcom.com&amp;start=20&amp;location=San+Diego%2C+CA%2C+United+States&amp;pid=38063062&amp;sort_by=distance&amp;filter_distance=80&amp;filter_include_remote=1" TargetMode="External"/><Relationship Id="rId150" Type="http://schemas.openxmlformats.org/officeDocument/2006/relationships/hyperlink" Target="https://careers.dexcom.com/careers/index" TargetMode="External"/><Relationship Id="rId271" Type="http://schemas.openxmlformats.org/officeDocument/2006/relationships/hyperlink" Target="https://careers.dexcom.com/careers?domain=dexcom.com&amp;start=50&amp;location=San+Diego%2C+CA%2C+United+States&amp;pid=38744540&amp;sort_by=distance&amp;filter_distance=80&amp;filter_include_remote=1" TargetMode="External"/><Relationship Id="rId392" Type="http://schemas.openxmlformats.org/officeDocument/2006/relationships/hyperlink" Target="https://www.californiadairies.com/careers/" TargetMode="External"/><Relationship Id="rId270" Type="http://schemas.openxmlformats.org/officeDocument/2006/relationships/hyperlink" Target="https://careers.dexcom.com/careers/index" TargetMode="External"/><Relationship Id="rId391" Type="http://schemas.openxmlformats.org/officeDocument/2006/relationships/hyperlink" Target="https://jobs.dayforcehcm.com/en-US/cadry/CANDIDATEPORTAL/jobs/326" TargetMode="External"/><Relationship Id="rId390" Type="http://schemas.openxmlformats.org/officeDocument/2006/relationships/hyperlink" Target="https://www.californiadairies.com/careers/" TargetMode="External"/><Relationship Id="rId1" Type="http://schemas.openxmlformats.org/officeDocument/2006/relationships/hyperlink" Target="https://www.tesla.com/careers/search/?type=1&amp;region=5&amp;site=US&amp;state=CA&amp;location=San%20Diego" TargetMode="External"/><Relationship Id="rId2" Type="http://schemas.openxmlformats.org/officeDocument/2006/relationships/hyperlink" Target="https://www.tesla.com/careers/search/?type=1&amp;region=5&amp;site=US&amp;state=CA&amp;location=San%20Diego" TargetMode="External"/><Relationship Id="rId3" Type="http://schemas.openxmlformats.org/officeDocument/2006/relationships/hyperlink" Target="https://www.tesla.com/careers/search/?type=1&amp;region=5&amp;site=US&amp;state=CA&amp;location=San%20Diego" TargetMode="External"/><Relationship Id="rId149" Type="http://schemas.openxmlformats.org/officeDocument/2006/relationships/hyperlink" Target="https://careers.dexcom.com/careers?domain=dexcom.com&amp;start=0&amp;location=San+Diego%2C+CA%2C+United+States&amp;pid=38634681&amp;sort_by=distance&amp;filter_distance=80&amp;filter_include_remote=1" TargetMode="External"/><Relationship Id="rId4" Type="http://schemas.openxmlformats.org/officeDocument/2006/relationships/hyperlink" Target="https://www.tesla.com/careers/search/?type=1&amp;region=5&amp;site=US&amp;state=CA&amp;location=San%20Diego" TargetMode="External"/><Relationship Id="rId148" Type="http://schemas.openxmlformats.org/officeDocument/2006/relationships/hyperlink" Target="https://careers.dexcom.com/careers/index" TargetMode="External"/><Relationship Id="rId269" Type="http://schemas.openxmlformats.org/officeDocument/2006/relationships/hyperlink" Target="https://careers.dexcom.com/careers?domain=dexcom.com&amp;start=50&amp;location=San+Diego%2C+CA%2C+United+States&amp;pid=39097431&amp;sort_by=distance&amp;filter_distance=80&amp;filter_include_remote=1" TargetMode="External"/><Relationship Id="rId9" Type="http://schemas.openxmlformats.org/officeDocument/2006/relationships/hyperlink" Target="https://www.tesla.com/careers/search/?type=1&amp;region=5&amp;site=US&amp;state=CA&amp;location=San%20Diego" TargetMode="External"/><Relationship Id="rId143" Type="http://schemas.openxmlformats.org/officeDocument/2006/relationships/hyperlink" Target="https://careers.dexcom.com/careers?domain=dexcom.com&amp;start=0&amp;location=San+Diego%2C+CA%2C+United+States&amp;pid=38528658&amp;sort_by=distance&amp;filter_distance=80&amp;filter_include_remote=1" TargetMode="External"/><Relationship Id="rId264" Type="http://schemas.openxmlformats.org/officeDocument/2006/relationships/hyperlink" Target="https://careers.dexcom.com/careers/index" TargetMode="External"/><Relationship Id="rId385" Type="http://schemas.openxmlformats.org/officeDocument/2006/relationships/hyperlink" Target="https://jobs.dayforcehcm.com/en-US/cadry/CANDIDATEPORTAL/jobs/436" TargetMode="External"/><Relationship Id="rId142" Type="http://schemas.openxmlformats.org/officeDocument/2006/relationships/hyperlink" Target="https://careers.dexcom.com/careers/index" TargetMode="External"/><Relationship Id="rId263" Type="http://schemas.openxmlformats.org/officeDocument/2006/relationships/hyperlink" Target="https://careers.dexcom.com/careers?domain=dexcom.com&amp;start=50&amp;location=San+Diego%2C+CA%2C+United+States&amp;pid=39060785&amp;sort_by=distance&amp;filter_distance=80&amp;filter_include_remote=1" TargetMode="External"/><Relationship Id="rId384" Type="http://schemas.openxmlformats.org/officeDocument/2006/relationships/hyperlink" Target="https://goldenstatefoods.ttcportals.com/search/jobs/in/ca-california" TargetMode="External"/><Relationship Id="rId141" Type="http://schemas.openxmlformats.org/officeDocument/2006/relationships/hyperlink" Target="https://careers.dexcom.com/careers?domain=dexcom.com&amp;start=0&amp;location=San+Diego%2C+CA%2C+United+States&amp;pid=38527152&amp;sort_by=distance&amp;filter_distance=80&amp;filter_include_remote=1" TargetMode="External"/><Relationship Id="rId262" Type="http://schemas.openxmlformats.org/officeDocument/2006/relationships/hyperlink" Target="https://careers.dexcom.com/careers/index" TargetMode="External"/><Relationship Id="rId383" Type="http://schemas.openxmlformats.org/officeDocument/2006/relationships/hyperlink" Target="https://goldenstatefoods.ttcportals.com/jobs/16432545-sr-applications-developer-analyst" TargetMode="External"/><Relationship Id="rId140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61" Type="http://schemas.openxmlformats.org/officeDocument/2006/relationships/hyperlink" Target="https://careers.dexcom.com/careers?domain=dexcom.com&amp;start=50&amp;location=San+Diego%2C+CA%2C+United+States&amp;pid=39047096&amp;sort_by=distance&amp;filter_distance=80&amp;filter_include_remote=1" TargetMode="External"/><Relationship Id="rId382" Type="http://schemas.openxmlformats.org/officeDocument/2006/relationships/hyperlink" Target="https://goldenstatefoods.ttcportals.com/search/jobs/in/ca-california" TargetMode="External"/><Relationship Id="rId5" Type="http://schemas.openxmlformats.org/officeDocument/2006/relationships/hyperlink" Target="https://www.tesla.com/careers/search/?type=1&amp;region=5&amp;site=US&amp;state=CA&amp;location=San%20Diego" TargetMode="External"/><Relationship Id="rId147" Type="http://schemas.openxmlformats.org/officeDocument/2006/relationships/hyperlink" Target="https://careers.dexcom.com/careers?domain=dexcom.com&amp;start=0&amp;location=San+Diego%2C+CA%2C+United+States&amp;pid=38634309&amp;sort_by=distance&amp;filter_distance=80&amp;filter_include_remote=1" TargetMode="External"/><Relationship Id="rId268" Type="http://schemas.openxmlformats.org/officeDocument/2006/relationships/hyperlink" Target="https://careers.dexcom.com/careers/index" TargetMode="External"/><Relationship Id="rId389" Type="http://schemas.openxmlformats.org/officeDocument/2006/relationships/hyperlink" Target="https://jobs.dayforcehcm.com/en-US/cadry/CANDIDATEPORTAL/jobs/408" TargetMode="External"/><Relationship Id="rId6" Type="http://schemas.openxmlformats.org/officeDocument/2006/relationships/hyperlink" Target="https://www.tesla.com/careers/search/?type=1&amp;region=5&amp;site=US&amp;state=CA&amp;location=San%20Diego" TargetMode="External"/><Relationship Id="rId146" Type="http://schemas.openxmlformats.org/officeDocument/2006/relationships/hyperlink" Target="https://careers.dexcom.com/careers/index" TargetMode="External"/><Relationship Id="rId267" Type="http://schemas.openxmlformats.org/officeDocument/2006/relationships/hyperlink" Target="https://careers.dexcom.com/careers?domain=dexcom.com&amp;start=50&amp;location=San+Diego%2C+CA%2C+United+States&amp;pid=39060707&amp;sort_by=distance&amp;filter_distance=80&amp;filter_include_remote=1" TargetMode="External"/><Relationship Id="rId388" Type="http://schemas.openxmlformats.org/officeDocument/2006/relationships/hyperlink" Target="https://www.californiadairies.com/careers/" TargetMode="External"/><Relationship Id="rId7" Type="http://schemas.openxmlformats.org/officeDocument/2006/relationships/hyperlink" Target="https://www.tesla.com/careers/search/?type=1&amp;region=5&amp;site=US&amp;state=CA&amp;location=San%20Diego" TargetMode="External"/><Relationship Id="rId145" Type="http://schemas.openxmlformats.org/officeDocument/2006/relationships/hyperlink" Target="https://careers.dexcom.com/careers?domain=dexcom.com&amp;start=0&amp;location=San+Diego%2C+CA%2C+United+States&amp;pid=38600257&amp;sort_by=distance&amp;filter_distance=80&amp;filter_include_remote=1" TargetMode="External"/><Relationship Id="rId266" Type="http://schemas.openxmlformats.org/officeDocument/2006/relationships/hyperlink" Target="https://careers.dexcom.com/careers/index" TargetMode="External"/><Relationship Id="rId387" Type="http://schemas.openxmlformats.org/officeDocument/2006/relationships/hyperlink" Target="https://jobs.dayforcehcm.com/en-US/cadry/CANDIDATEPORTAL/jobs/432" TargetMode="External"/><Relationship Id="rId8" Type="http://schemas.openxmlformats.org/officeDocument/2006/relationships/hyperlink" Target="https://www.tesla.com/careers/search/?type=1&amp;region=5&amp;site=US&amp;state=CA&amp;location=San%20Diego" TargetMode="External"/><Relationship Id="rId144" Type="http://schemas.openxmlformats.org/officeDocument/2006/relationships/hyperlink" Target="https://careers.dexcom.com/careers/index" TargetMode="External"/><Relationship Id="rId265" Type="http://schemas.openxmlformats.org/officeDocument/2006/relationships/hyperlink" Target="https://careers.dexcom.com/careers?domain=dexcom.com&amp;start=50&amp;location=San+Diego%2C+CA%2C+United+States&amp;pid=39062911&amp;sort_by=distance&amp;filter_distance=80&amp;filter_include_remote=1" TargetMode="External"/><Relationship Id="rId386" Type="http://schemas.openxmlformats.org/officeDocument/2006/relationships/hyperlink" Target="https://www.californiadairies.com/careers/" TargetMode="External"/><Relationship Id="rId260" Type="http://schemas.openxmlformats.org/officeDocument/2006/relationships/hyperlink" Target="https://careers.dexcom.com/careers/index" TargetMode="External"/><Relationship Id="rId381" Type="http://schemas.openxmlformats.org/officeDocument/2006/relationships/hyperlink" Target="https://goldenstatefoods.ttcportals.com/jobs/16831365-sr-maintenance-supervisor-2nd-shift" TargetMode="External"/><Relationship Id="rId380" Type="http://schemas.openxmlformats.org/officeDocument/2006/relationships/hyperlink" Target="https://goldenstatefoods.ttcportals.com/search/jobs/in/ca-california" TargetMode="External"/><Relationship Id="rId139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138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59" Type="http://schemas.openxmlformats.org/officeDocument/2006/relationships/hyperlink" Target="https://careers.dexcom.com/careers?domain=dexcom.com&amp;start=50&amp;location=San+Diego%2C+CA%2C+United+States&amp;pid=38999680&amp;sort_by=distance&amp;filter_distance=80&amp;filter_include_remote=1" TargetMode="External"/><Relationship Id="rId137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58" Type="http://schemas.openxmlformats.org/officeDocument/2006/relationships/hyperlink" Target="https://careers.dexcom.com/careers/index" TargetMode="External"/><Relationship Id="rId379" Type="http://schemas.openxmlformats.org/officeDocument/2006/relationships/hyperlink" Target="https://goldenstatefoods.ttcportals.com/jobs/16861813-warehouse-utility-slash-yard-driver" TargetMode="External"/><Relationship Id="rId132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53" Type="http://schemas.openxmlformats.org/officeDocument/2006/relationships/hyperlink" Target="https://careers.dexcom.com/careers?domain=dexcom.com&amp;start=50&amp;location=San+Diego%2C+CA%2C+United+States&amp;pid=38939173&amp;sort_by=distance&amp;filter_distance=80&amp;filter_include_remote=1" TargetMode="External"/><Relationship Id="rId374" Type="http://schemas.openxmlformats.org/officeDocument/2006/relationships/hyperlink" Target="https://careers.g3enterprises.com/search" TargetMode="External"/><Relationship Id="rId495" Type="http://schemas.openxmlformats.org/officeDocument/2006/relationships/hyperlink" Target="https://jobs.boeing.com/job/los-angeles/metrology-test-and-evaluation-engineer-associate-or-mid-level/185/88280236704" TargetMode="External"/><Relationship Id="rId131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52" Type="http://schemas.openxmlformats.org/officeDocument/2006/relationships/hyperlink" Target="https://careers.dexcom.com/careers/index" TargetMode="External"/><Relationship Id="rId373" Type="http://schemas.openxmlformats.org/officeDocument/2006/relationships/hyperlink" Target="https://careers.g3enterprises.com/job/Talent-Acquisition-Partner/15200-en_US" TargetMode="External"/><Relationship Id="rId494" Type="http://schemas.openxmlformats.org/officeDocument/2006/relationships/hyperlink" Target="https://jobs.boeing.com/search-jobs/Los%20Angeles%2C%20CA/185/4/6252001-5332921-5368381-5368361/34x05223/-118x24368/50/2" TargetMode="External"/><Relationship Id="rId130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51" Type="http://schemas.openxmlformats.org/officeDocument/2006/relationships/hyperlink" Target="https://careers.dexcom.com/careers?domain=dexcom.com&amp;start=40&amp;location=San+Diego%2C+CA%2C+United+States&amp;pid=38886618&amp;sort_by=distance&amp;filter_distance=80&amp;filter_include_remote=1" TargetMode="External"/><Relationship Id="rId372" Type="http://schemas.openxmlformats.org/officeDocument/2006/relationships/hyperlink" Target="https://careers.g3enterprises.com/search" TargetMode="External"/><Relationship Id="rId493" Type="http://schemas.openxmlformats.org/officeDocument/2006/relationships/hyperlink" Target="https://jobs.boeing.com/job/los-angeles/information-technology-manager/185/88289454688" TargetMode="External"/><Relationship Id="rId250" Type="http://schemas.openxmlformats.org/officeDocument/2006/relationships/hyperlink" Target="https://careers.dexcom.com/careers/index" TargetMode="External"/><Relationship Id="rId371" Type="http://schemas.openxmlformats.org/officeDocument/2006/relationships/hyperlink" Target="https://careers.g3enterprises.com/job/Analyst-3-Supply-Chain-Buyer/15237-en_US" TargetMode="External"/><Relationship Id="rId492" Type="http://schemas.openxmlformats.org/officeDocument/2006/relationships/hyperlink" Target="https://jobs.boeing.com/search-jobs/Los%20Angeles%2C%20CA/185/4/6252001-5332921-5368381-5368361/34x05223/-118x24368/50/2" TargetMode="External"/><Relationship Id="rId136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57" Type="http://schemas.openxmlformats.org/officeDocument/2006/relationships/hyperlink" Target="https://careers.dexcom.com/careers?domain=dexcom.com&amp;start=50&amp;location=San+Diego%2C+CA%2C+United+States&amp;pid=38952524&amp;sort_by=distance&amp;filter_distance=80&amp;filter_include_remote=1" TargetMode="External"/><Relationship Id="rId378" Type="http://schemas.openxmlformats.org/officeDocument/2006/relationships/hyperlink" Target="https://goldenstatefoods.ttcportals.com/search/jobs/in/ca-california" TargetMode="External"/><Relationship Id="rId499" Type="http://schemas.openxmlformats.org/officeDocument/2006/relationships/hyperlink" Target="https://jobs.boeing.com/job/los-angeles/deputy-software-integrated-product-team-ipt-lead/185/88168137504" TargetMode="External"/><Relationship Id="rId135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56" Type="http://schemas.openxmlformats.org/officeDocument/2006/relationships/hyperlink" Target="https://careers.dexcom.com/careers/index" TargetMode="External"/><Relationship Id="rId377" Type="http://schemas.openxmlformats.org/officeDocument/2006/relationships/hyperlink" Target="https://goldenstatefoods.ttcportals.com/jobs/16861813-warehouse-utility-slash-yard-driver" TargetMode="External"/><Relationship Id="rId498" Type="http://schemas.openxmlformats.org/officeDocument/2006/relationships/hyperlink" Target="https://jobs.boeing.com/search-jobs/Los%20Angeles%2C%20CA/185/4/6252001-5332921-5368381-5368361/34x05223/-118x24368/50/2" TargetMode="External"/><Relationship Id="rId134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55" Type="http://schemas.openxmlformats.org/officeDocument/2006/relationships/hyperlink" Target="https://careers.dexcom.com/careers?domain=dexcom.com&amp;start=50&amp;location=San+Diego%2C+CA%2C+United+States&amp;pid=38951157&amp;sort_by=distance&amp;filter_distance=80&amp;filter_include_remote=1" TargetMode="External"/><Relationship Id="rId376" Type="http://schemas.openxmlformats.org/officeDocument/2006/relationships/hyperlink" Target="https://goldenstatefoods.ttcportals.com/search/jobs/in/ca-california" TargetMode="External"/><Relationship Id="rId497" Type="http://schemas.openxmlformats.org/officeDocument/2006/relationships/hyperlink" Target="https://jobs.boeing.com/job/los-angeles/metrology-test-and-evaluation-engineer-associate-or-mid-level/185/88280236704" TargetMode="External"/><Relationship Id="rId133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54" Type="http://schemas.openxmlformats.org/officeDocument/2006/relationships/hyperlink" Target="https://careers.dexcom.com/careers/index" TargetMode="External"/><Relationship Id="rId375" Type="http://schemas.openxmlformats.org/officeDocument/2006/relationships/hyperlink" Target="https://goldenstatefoods.ttcportals.com/jobs/17026331-maintenance-mechanic" TargetMode="External"/><Relationship Id="rId496" Type="http://schemas.openxmlformats.org/officeDocument/2006/relationships/hyperlink" Target="https://jobs.boeing.com/search-jobs/Los%20Angeles%2C%20CA/185/4/6252001-5332921-5368381-5368361/34x05223/-118x24368/50/2" TargetMode="External"/><Relationship Id="rId172" Type="http://schemas.openxmlformats.org/officeDocument/2006/relationships/hyperlink" Target="https://careers.dexcom.com/careers/index" TargetMode="External"/><Relationship Id="rId293" Type="http://schemas.openxmlformats.org/officeDocument/2006/relationships/hyperlink" Target="https://careers.dexcom.com/careers?domain=dexcom.com&amp;start=70&amp;location=San+Diego%2C+CA%2C+United+States&amp;pid=38261368&amp;sort_by=distance&amp;filter_distance=80&amp;filter_include_remote=1" TargetMode="External"/><Relationship Id="rId171" Type="http://schemas.openxmlformats.org/officeDocument/2006/relationships/hyperlink" Target="https://careers.dexcom.com/careers?domain=dexcom.com&amp;start=0&amp;location=San+Diego%2C+CA%2C+United+States&amp;pid=38303576&amp;sort_by=distance&amp;filter_distance=80&amp;filter_include_remote=1" TargetMode="External"/><Relationship Id="rId292" Type="http://schemas.openxmlformats.org/officeDocument/2006/relationships/hyperlink" Target="https://careers.dexcom.com/careers/index" TargetMode="External"/><Relationship Id="rId170" Type="http://schemas.openxmlformats.org/officeDocument/2006/relationships/hyperlink" Target="https://careers.dexcom.com/careers/index" TargetMode="External"/><Relationship Id="rId291" Type="http://schemas.openxmlformats.org/officeDocument/2006/relationships/hyperlink" Target="https://careers.dexcom.com/careers/job/38259056?domain=dexcom.com" TargetMode="External"/><Relationship Id="rId290" Type="http://schemas.openxmlformats.org/officeDocument/2006/relationships/hyperlink" Target="https://careers.dexcom.com/careers/index" TargetMode="External"/><Relationship Id="rId165" Type="http://schemas.openxmlformats.org/officeDocument/2006/relationships/hyperlink" Target="https://careers.dexcom.com/careers?domain=dexcom.com&amp;start=0&amp;location=San+Diego%2C+CA%2C+United+States&amp;pid=38281788&amp;sort_by=distance&amp;filter_distance=80&amp;filter_include_remote=1" TargetMode="External"/><Relationship Id="rId286" Type="http://schemas.openxmlformats.org/officeDocument/2006/relationships/hyperlink" Target="https://careers.dexcom.com/careers/index" TargetMode="External"/><Relationship Id="rId164" Type="http://schemas.openxmlformats.org/officeDocument/2006/relationships/hyperlink" Target="https://careers.dexcom.com/careers/index" TargetMode="External"/><Relationship Id="rId285" Type="http://schemas.openxmlformats.org/officeDocument/2006/relationships/hyperlink" Target="https://careers.dexcom.com/careers?domain=dexcom.com&amp;start=60&amp;location=San+Diego%2C+CA%2C+United+States&amp;pid=38567812&amp;sort_by=distance&amp;filter_distance=80&amp;filter_include_remote=1" TargetMode="External"/><Relationship Id="rId163" Type="http://schemas.openxmlformats.org/officeDocument/2006/relationships/hyperlink" Target="https://careers.dexcom.com/careers?domain=dexcom.com&amp;start=0&amp;location=San+Diego%2C+CA%2C+United+States&amp;pid=38259335&amp;sort_by=distance&amp;filter_distance=80&amp;filter_include_remote=1" TargetMode="External"/><Relationship Id="rId284" Type="http://schemas.openxmlformats.org/officeDocument/2006/relationships/hyperlink" Target="https://careers.dexcom.com/careers/index" TargetMode="External"/><Relationship Id="rId162" Type="http://schemas.openxmlformats.org/officeDocument/2006/relationships/hyperlink" Target="https://careers.dexcom.com/careers/index" TargetMode="External"/><Relationship Id="rId283" Type="http://schemas.openxmlformats.org/officeDocument/2006/relationships/hyperlink" Target="https://careers.dexcom.com/careers?domain=dexcom.com&amp;start=60&amp;location=San+Diego%2C+CA%2C+United+States&amp;pid=38516212&amp;sort_by=distance&amp;filter_distance=80&amp;filter_include_remote=1" TargetMode="External"/><Relationship Id="rId169" Type="http://schemas.openxmlformats.org/officeDocument/2006/relationships/hyperlink" Target="https://careers.dexcom.com/careers?domain=dexcom.com&amp;start=0&amp;location=San+Diego%2C+CA%2C+United+States&amp;pid=38298391&amp;sort_by=distance&amp;filter_distance=80&amp;filter_include_remote=1" TargetMode="External"/><Relationship Id="rId168" Type="http://schemas.openxmlformats.org/officeDocument/2006/relationships/hyperlink" Target="https://careers.dexcom.com/careers/index" TargetMode="External"/><Relationship Id="rId289" Type="http://schemas.openxmlformats.org/officeDocument/2006/relationships/hyperlink" Target="https://careers.dexcom.com/careers?domain=dexcom.com&amp;start=60&amp;location=San+Diego%2C+CA%2C+United+States&amp;pid=38201571&amp;sort_by=distance&amp;filter_distance=80&amp;filter_include_remote=1" TargetMode="External"/><Relationship Id="rId167" Type="http://schemas.openxmlformats.org/officeDocument/2006/relationships/hyperlink" Target="https://careers.dexcom.com/careers?domain=dexcom.com&amp;start=0&amp;location=San+Diego%2C+CA%2C+United+States&amp;pid=38281790&amp;sort_by=distance&amp;filter_distance=80&amp;filter_include_remote=1" TargetMode="External"/><Relationship Id="rId288" Type="http://schemas.openxmlformats.org/officeDocument/2006/relationships/hyperlink" Target="https://careers.dexcom.com/careers/index" TargetMode="External"/><Relationship Id="rId166" Type="http://schemas.openxmlformats.org/officeDocument/2006/relationships/hyperlink" Target="https://careers.dexcom.com/careers/index" TargetMode="External"/><Relationship Id="rId287" Type="http://schemas.openxmlformats.org/officeDocument/2006/relationships/hyperlink" Target="https://careers.dexcom.com/careers?domain=dexcom.com&amp;start=60&amp;location=San+Diego%2C+CA%2C+United+States&amp;pid=38048343&amp;sort_by=distance&amp;filter_distance=80&amp;filter_include_remote=1" TargetMode="External"/><Relationship Id="rId161" Type="http://schemas.openxmlformats.org/officeDocument/2006/relationships/hyperlink" Target="https://careers.dexcom.com/careers?domain=dexcom.com&amp;start=0&amp;location=San+Diego%2C+CA%2C+United+States&amp;pid=38258935&amp;sort_by=distance&amp;filter_distance=80&amp;filter_include_remote=1" TargetMode="External"/><Relationship Id="rId282" Type="http://schemas.openxmlformats.org/officeDocument/2006/relationships/hyperlink" Target="https://careers.dexcom.com/careers/index" TargetMode="External"/><Relationship Id="rId160" Type="http://schemas.openxmlformats.org/officeDocument/2006/relationships/hyperlink" Target="https://careers.dexcom.com/careers/index" TargetMode="External"/><Relationship Id="rId281" Type="http://schemas.openxmlformats.org/officeDocument/2006/relationships/hyperlink" Target="https://careers.dexcom.com/careers?domain=dexcom.com&amp;start=60&amp;location=San+Diego%2C+CA%2C+United+States&amp;pid=38515393&amp;sort_by=distance&amp;filter_distance=80&amp;filter_include_remote=1" TargetMode="External"/><Relationship Id="rId280" Type="http://schemas.openxmlformats.org/officeDocument/2006/relationships/hyperlink" Target="https://careers.dexcom.com/careers/index" TargetMode="External"/><Relationship Id="rId159" Type="http://schemas.openxmlformats.org/officeDocument/2006/relationships/hyperlink" Target="https://careers.dexcom.com/careers?domain=dexcom.com&amp;start=0&amp;location=San+Diego%2C+CA%2C+United+States&amp;pid=38067926&amp;sort_by=distance&amp;filter_distance=80&amp;filter_include_remote=1" TargetMode="External"/><Relationship Id="rId154" Type="http://schemas.openxmlformats.org/officeDocument/2006/relationships/hyperlink" Target="https://careers.dexcom.com/careers/index" TargetMode="External"/><Relationship Id="rId275" Type="http://schemas.openxmlformats.org/officeDocument/2006/relationships/hyperlink" Target="https://careers.dexcom.com/careers?domain=dexcom.com&amp;start=60&amp;location=San+Diego%2C+CA%2C+United+States&amp;pid=38111376&amp;sort_by=distance&amp;filter_distance=80&amp;filter_include_remote=1" TargetMode="External"/><Relationship Id="rId396" Type="http://schemas.openxmlformats.org/officeDocument/2006/relationships/hyperlink" Target="https://www.californiadairies.com/careers/" TargetMode="External"/><Relationship Id="rId153" Type="http://schemas.openxmlformats.org/officeDocument/2006/relationships/hyperlink" Target="https://careers.dexcom.com/careers?domain=dexcom.com&amp;start=0&amp;location=San+Diego%2C+CA%2C+United+States&amp;pid=38650202&amp;sort_by=distance&amp;filter_distance=80&amp;filter_include_remote=1" TargetMode="External"/><Relationship Id="rId274" Type="http://schemas.openxmlformats.org/officeDocument/2006/relationships/hyperlink" Target="https://careers.dexcom.com/careers/index" TargetMode="External"/><Relationship Id="rId395" Type="http://schemas.openxmlformats.org/officeDocument/2006/relationships/hyperlink" Target="https://jobs.dayforcehcm.com/en-US/cadry/CANDIDATEPORTAL/jobs/246" TargetMode="External"/><Relationship Id="rId152" Type="http://schemas.openxmlformats.org/officeDocument/2006/relationships/hyperlink" Target="https://careers.dexcom.com/careers/index" TargetMode="External"/><Relationship Id="rId273" Type="http://schemas.openxmlformats.org/officeDocument/2006/relationships/hyperlink" Target="https://careers.dexcom.com/careers?domain=dexcom.com&amp;start=60&amp;location=San+Diego%2C+CA%2C+United+States&amp;pid=38753566&amp;sort_by=distance&amp;filter_distance=80&amp;filter_include_remote=1" TargetMode="External"/><Relationship Id="rId394" Type="http://schemas.openxmlformats.org/officeDocument/2006/relationships/hyperlink" Target="https://www.californiadairies.com/careers/" TargetMode="External"/><Relationship Id="rId151" Type="http://schemas.openxmlformats.org/officeDocument/2006/relationships/hyperlink" Target="https://careers.dexcom.com/careers?domain=dexcom.com&amp;start=0&amp;location=San+Diego%2C+CA%2C+United+States&amp;pid=38650202&amp;sort_by=distance&amp;filter_distance=80&amp;filter_include_remote=1" TargetMode="External"/><Relationship Id="rId272" Type="http://schemas.openxmlformats.org/officeDocument/2006/relationships/hyperlink" Target="https://careers.dexcom.com/careers/index" TargetMode="External"/><Relationship Id="rId393" Type="http://schemas.openxmlformats.org/officeDocument/2006/relationships/hyperlink" Target="https://jobs.dayforcehcm.com/en-US/cadry/CANDIDATEPORTAL/jobs/279" TargetMode="External"/><Relationship Id="rId158" Type="http://schemas.openxmlformats.org/officeDocument/2006/relationships/hyperlink" Target="https://careers.dexcom.com/careers/index" TargetMode="External"/><Relationship Id="rId279" Type="http://schemas.openxmlformats.org/officeDocument/2006/relationships/hyperlink" Target="https://careers.dexcom.com/careers?domain=dexcom.com&amp;start=60&amp;location=San+Diego%2C+CA%2C+United+States&amp;pid=38433645&amp;sort_by=distance&amp;filter_distance=80&amp;filter_include_remote=1" TargetMode="External"/><Relationship Id="rId157" Type="http://schemas.openxmlformats.org/officeDocument/2006/relationships/hyperlink" Target="https://careers.dexcom.com/careers?domain=dexcom.com&amp;start=0&amp;location=San+Diego%2C+CA%2C+United+States&amp;pid=38691824&amp;sort_by=distance&amp;filter_distance=80&amp;filter_include_remote=1" TargetMode="External"/><Relationship Id="rId278" Type="http://schemas.openxmlformats.org/officeDocument/2006/relationships/hyperlink" Target="https://careers.dexcom.com/careers/index" TargetMode="External"/><Relationship Id="rId399" Type="http://schemas.openxmlformats.org/officeDocument/2006/relationships/hyperlink" Target="https://jobs.dayforcehcm.com/en-US/cadry/CANDIDATEPORTAL/jobs/70" TargetMode="External"/><Relationship Id="rId156" Type="http://schemas.openxmlformats.org/officeDocument/2006/relationships/hyperlink" Target="https://careers.dexcom.com/careers/index" TargetMode="External"/><Relationship Id="rId277" Type="http://schemas.openxmlformats.org/officeDocument/2006/relationships/hyperlink" Target="https://careers.dexcom.com/careers?domain=dexcom.com&amp;start=60&amp;location=San+Diego%2C+CA%2C+United+States&amp;pid=30892577&amp;sort_by=distance&amp;filter_distance=80&amp;filter_include_remote=1" TargetMode="External"/><Relationship Id="rId398" Type="http://schemas.openxmlformats.org/officeDocument/2006/relationships/hyperlink" Target="https://www.californiadairies.com/careers/" TargetMode="External"/><Relationship Id="rId155" Type="http://schemas.openxmlformats.org/officeDocument/2006/relationships/hyperlink" Target="https://careers.dexcom.com/careers?domain=dexcom.com&amp;start=0&amp;location=San+Diego%2C+CA%2C+United+States&amp;pid=38689354&amp;sort_by=distance&amp;filter_distance=80&amp;filter_include_remote=1" TargetMode="External"/><Relationship Id="rId276" Type="http://schemas.openxmlformats.org/officeDocument/2006/relationships/hyperlink" Target="https://careers.dexcom.com/careers/index" TargetMode="External"/><Relationship Id="rId397" Type="http://schemas.openxmlformats.org/officeDocument/2006/relationships/hyperlink" Target="https://jobs.dayforcehcm.com/en-US/cadry/CANDIDATEPORTAL/jobs/242" TargetMode="External"/><Relationship Id="rId40" Type="http://schemas.openxmlformats.org/officeDocument/2006/relationships/hyperlink" Target="https://www.tesla.com/careers/search/?type=1&amp;region=5&amp;site=US&amp;state=CA&amp;location=San%20Diego" TargetMode="External"/><Relationship Id="rId42" Type="http://schemas.openxmlformats.org/officeDocument/2006/relationships/hyperlink" Target="https://www.tesla.com/careers/search/?type=1&amp;region=5&amp;site=US&amp;state=CA&amp;location=San%20Diego" TargetMode="External"/><Relationship Id="rId41" Type="http://schemas.openxmlformats.org/officeDocument/2006/relationships/hyperlink" Target="https://www.tesla.com/careers/search/?type=1&amp;region=5&amp;site=US&amp;state=CA&amp;location=San%20Diego" TargetMode="External"/><Relationship Id="rId44" Type="http://schemas.openxmlformats.org/officeDocument/2006/relationships/hyperlink" Target="https://www.tesla.com/careers/search/?type=1&amp;region=5&amp;site=US&amp;state=CA&amp;location=San%20Diego" TargetMode="External"/><Relationship Id="rId43" Type="http://schemas.openxmlformats.org/officeDocument/2006/relationships/hyperlink" Target="https://www.tesla.com/careers/search/?type=1&amp;region=5&amp;site=US&amp;state=CA&amp;location=San%20Diego" TargetMode="External"/><Relationship Id="rId46" Type="http://schemas.openxmlformats.org/officeDocument/2006/relationships/hyperlink" Target="https://www.tesla.com/careers/search/?type=1&amp;region=5&amp;site=US&amp;state=CA&amp;location=San%20Diego" TargetMode="External"/><Relationship Id="rId45" Type="http://schemas.openxmlformats.org/officeDocument/2006/relationships/hyperlink" Target="https://www.tesla.com/careers/search/?type=1&amp;region=5&amp;site=US&amp;state=CA&amp;location=San%20Diego" TargetMode="External"/><Relationship Id="rId509" Type="http://schemas.openxmlformats.org/officeDocument/2006/relationships/hyperlink" Target="https://jobs.boeing.com/job/los-angeles/thermal-lab-mechanical-engineer-mid-level-or-senior/185/87013173456" TargetMode="External"/><Relationship Id="rId508" Type="http://schemas.openxmlformats.org/officeDocument/2006/relationships/hyperlink" Target="https://jobs.boeing.com/search-jobs/Los%20Angeles%2C%20CA/185/4/6252001-5332921-5368381-5368361/34x05223/-118x24368/50/2" TargetMode="External"/><Relationship Id="rId629" Type="http://schemas.openxmlformats.org/officeDocument/2006/relationships/hyperlink" Target="https://jobs.boeing.com/job/berkeley/enterprise-human-factors-investigator-mid-level-lead-or-senior/185/89064270448" TargetMode="External"/><Relationship Id="rId503" Type="http://schemas.openxmlformats.org/officeDocument/2006/relationships/hyperlink" Target="https://jobs.boeing.com/job/los-angeles/mid-level-quality-engineer/185/87595311760" TargetMode="External"/><Relationship Id="rId624" Type="http://schemas.openxmlformats.org/officeDocument/2006/relationships/hyperlink" Target="https://jobs.boeing.com/search-jobs/Los%20Angeles%2C%20CA/185/4/6252001-5332921-5368381-5368361/34x05223/-118x24368/50/2" TargetMode="External"/><Relationship Id="rId502" Type="http://schemas.openxmlformats.org/officeDocument/2006/relationships/hyperlink" Target="https://jobs.boeing.com/search-jobs/Los%20Angeles%2C%20CA/185/4/6252001-5332921-5368381-5368361/34x05223/-118x24368/50/2" TargetMode="External"/><Relationship Id="rId623" Type="http://schemas.openxmlformats.org/officeDocument/2006/relationships/hyperlink" Target="https://jobs.boeing.com/job/seattle/senior-security-design-specialist/185/88015376800" TargetMode="External"/><Relationship Id="rId501" Type="http://schemas.openxmlformats.org/officeDocument/2006/relationships/hyperlink" Target="https://jobs.boeing.com/job/los-angeles/deputy-software-integrated-product-team-ipt-lead/185/88168137504" TargetMode="External"/><Relationship Id="rId622" Type="http://schemas.openxmlformats.org/officeDocument/2006/relationships/hyperlink" Target="https://jobs.boeing.com/search-jobs/Los%20Angeles%2C%20CA/185/4/6252001-5332921-5368381-5368361/34x05223/-118x24368/50/2" TargetMode="External"/><Relationship Id="rId500" Type="http://schemas.openxmlformats.org/officeDocument/2006/relationships/hyperlink" Target="https://jobs.boeing.com/search-jobs/Los%20Angeles%2C%20CA/185/4/6252001-5332921-5368381-5368361/34x05223/-118x24368/50/2" TargetMode="External"/><Relationship Id="rId621" Type="http://schemas.openxmlformats.org/officeDocument/2006/relationships/hyperlink" Target="https://jobs.boeing.com/job/colorado-springs/senior-software-architect-space-mission-systems/185/88065177104" TargetMode="External"/><Relationship Id="rId507" Type="http://schemas.openxmlformats.org/officeDocument/2006/relationships/hyperlink" Target="https://jobs.boeing.com/job/los-angeles/command-and-control-software-architect/185/87496502816" TargetMode="External"/><Relationship Id="rId628" Type="http://schemas.openxmlformats.org/officeDocument/2006/relationships/hyperlink" Target="https://jobs.boeing.com/search-jobs/Los%20Angeles%2C%20CA/185/4/6252001-5332921-5368381-5368361/34x05223/-118x24368/50/2" TargetMode="External"/><Relationship Id="rId506" Type="http://schemas.openxmlformats.org/officeDocument/2006/relationships/hyperlink" Target="https://jobs.boeing.com/search-jobs/Los%20Angeles%2C%20CA/185/4/6252001-5332921-5368381-5368361/34x05223/-118x24368/50/2" TargetMode="External"/><Relationship Id="rId627" Type="http://schemas.openxmlformats.org/officeDocument/2006/relationships/hyperlink" Target="https://jobs.boeing.com/job/berkeley/enterprise-human-factors-investigator-mid-level-lead-or-senior/185/89064270448" TargetMode="External"/><Relationship Id="rId505" Type="http://schemas.openxmlformats.org/officeDocument/2006/relationships/hyperlink" Target="https://jobs.boeing.com/job/los-angeles/command-and-control-software-architect/185/87496502816" TargetMode="External"/><Relationship Id="rId626" Type="http://schemas.openxmlformats.org/officeDocument/2006/relationships/hyperlink" Target="https://jobs.boeing.com/search-jobs/Los%20Angeles%2C%20CA/185/4/6252001-5332921-5368381-5368361/34x05223/-118x24368/50/2" TargetMode="External"/><Relationship Id="rId504" Type="http://schemas.openxmlformats.org/officeDocument/2006/relationships/hyperlink" Target="https://jobs.boeing.com/search-jobs/Los%20Angeles%2C%20CA/185/4/6252001-5332921-5368381-5368361/34x05223/-118x24368/50/2" TargetMode="External"/><Relationship Id="rId625" Type="http://schemas.openxmlformats.org/officeDocument/2006/relationships/hyperlink" Target="https://jobs.boeing.com/job/berkeley/enterprise-human-factors-investigator-mid-level-lead-or-senior/185/89064270448" TargetMode="External"/><Relationship Id="rId48" Type="http://schemas.openxmlformats.org/officeDocument/2006/relationships/hyperlink" Target="https://www.tesla.com/careers/search/?type=1&amp;region=5&amp;site=US&amp;state=CA&amp;location=San%20Diego" TargetMode="External"/><Relationship Id="rId47" Type="http://schemas.openxmlformats.org/officeDocument/2006/relationships/hyperlink" Target="https://www.tesla.com/careers/search/?type=1&amp;region=5&amp;site=US&amp;state=CA&amp;location=San%20Diego" TargetMode="External"/><Relationship Id="rId49" Type="http://schemas.openxmlformats.org/officeDocument/2006/relationships/hyperlink" Target="https://www.tesla.com/careers/search/?type=1&amp;region=5&amp;site=US&amp;state=CA&amp;location=San%20Diego" TargetMode="External"/><Relationship Id="rId620" Type="http://schemas.openxmlformats.org/officeDocument/2006/relationships/hyperlink" Target="https://jobs.boeing.com/search-jobs/Los%20Angeles%2C%20CA/185/4/6252001-5332921-5368381-5368361/34x05223/-118x24368/50/2" TargetMode="External"/><Relationship Id="rId31" Type="http://schemas.openxmlformats.org/officeDocument/2006/relationships/hyperlink" Target="https://www.tesla.com/careers/search/job/internship-security-services-coordinator-security-systems-engineering-fall-2025-243559" TargetMode="External"/><Relationship Id="rId30" Type="http://schemas.openxmlformats.org/officeDocument/2006/relationships/hyperlink" Target="https://www.tesla.com/careers/search/?type=1&amp;region=5&amp;site=US&amp;state=CA&amp;location=San%20Diego" TargetMode="External"/><Relationship Id="rId33" Type="http://schemas.openxmlformats.org/officeDocument/2006/relationships/hyperlink" Target="https://www.tesla.com/careers/search/?type=1&amp;region=5&amp;site=US&amp;state=CA&amp;location=San%20Diego" TargetMode="External"/><Relationship Id="rId32" Type="http://schemas.openxmlformats.org/officeDocument/2006/relationships/hyperlink" Target="https://www.tesla.com/careers/search/?type=1&amp;region=5&amp;site=US&amp;state=CA&amp;location=San%20Diego" TargetMode="External"/><Relationship Id="rId35" Type="http://schemas.openxmlformats.org/officeDocument/2006/relationships/hyperlink" Target="https://www.tesla.com/careers/search/?type=1&amp;region=5&amp;site=US&amp;state=CA&amp;location=San%20Diego" TargetMode="External"/><Relationship Id="rId34" Type="http://schemas.openxmlformats.org/officeDocument/2006/relationships/hyperlink" Target="https://www.tesla.com/careers/search/?type=1&amp;region=5&amp;site=US&amp;state=CA&amp;location=San%20Diego" TargetMode="External"/><Relationship Id="rId619" Type="http://schemas.openxmlformats.org/officeDocument/2006/relationships/hyperlink" Target="https://jobs.boeing.com/job/seattle/senior-machine-learning-architect/185/88139497328" TargetMode="External"/><Relationship Id="rId618" Type="http://schemas.openxmlformats.org/officeDocument/2006/relationships/hyperlink" Target="https://jobs.boeing.com/search-jobs/Los%20Angeles%2C%20CA/185/4/6252001-5332921-5368381-5368361/34x05223/-118x24368/50/2" TargetMode="External"/><Relationship Id="rId613" Type="http://schemas.openxmlformats.org/officeDocument/2006/relationships/hyperlink" Target="https://jobs.boeing.com/job/seattle/senior-cloud-solutions-architect/185/88139497344" TargetMode="External"/><Relationship Id="rId612" Type="http://schemas.openxmlformats.org/officeDocument/2006/relationships/hyperlink" Target="https://jobs.boeing.com/search-jobs/Los%20Angeles%2C%20CA/185/4/6252001-5332921-5368381-5368361/34x05223/-118x24368/50/2" TargetMode="External"/><Relationship Id="rId611" Type="http://schemas.openxmlformats.org/officeDocument/2006/relationships/hyperlink" Target="https://jobs.boeing.com/job/seattle/senior-cloud-solutions-architect/185/88139497360" TargetMode="External"/><Relationship Id="rId610" Type="http://schemas.openxmlformats.org/officeDocument/2006/relationships/hyperlink" Target="https://jobs.boeing.com/search-jobs/Los%20Angeles%2C%20CA/185/4/6252001-5332921-5368381-5368361/34x05223/-118x24368/50/2" TargetMode="External"/><Relationship Id="rId617" Type="http://schemas.openxmlformats.org/officeDocument/2006/relationships/hyperlink" Target="https://jobs.boeing.com/job/seattle/senior-machine-learning-architect/185/88139497328" TargetMode="External"/><Relationship Id="rId616" Type="http://schemas.openxmlformats.org/officeDocument/2006/relationships/hyperlink" Target="https://jobs.boeing.com/search-jobs/Los%20Angeles%2C%20CA/185/4/6252001-5332921-5368381-5368361/34x05223/-118x24368/50/2" TargetMode="External"/><Relationship Id="rId615" Type="http://schemas.openxmlformats.org/officeDocument/2006/relationships/hyperlink" Target="https://jobs.boeing.com/job/seattle/senior-cloud-solutions-architect/185/88139497344" TargetMode="External"/><Relationship Id="rId614" Type="http://schemas.openxmlformats.org/officeDocument/2006/relationships/hyperlink" Target="https://jobs.boeing.com/search-jobs/Los%20Angeles%2C%20CA/185/4/6252001-5332921-5368381-5368361/34x05223/-118x24368/50/2" TargetMode="External"/><Relationship Id="rId37" Type="http://schemas.openxmlformats.org/officeDocument/2006/relationships/hyperlink" Target="https://www.tesla.com/careers/search/?type=1&amp;region=5&amp;site=US&amp;state=CA&amp;location=San%20Diego" TargetMode="External"/><Relationship Id="rId36" Type="http://schemas.openxmlformats.org/officeDocument/2006/relationships/hyperlink" Target="https://www.tesla.com/careers/search/?type=1&amp;region=5&amp;site=US&amp;state=CA&amp;location=San%20Diego" TargetMode="External"/><Relationship Id="rId39" Type="http://schemas.openxmlformats.org/officeDocument/2006/relationships/hyperlink" Target="https://www.tesla.com/careers/search/?type=1&amp;region=5&amp;site=US&amp;state=CA&amp;location=San%20Diego" TargetMode="External"/><Relationship Id="rId38" Type="http://schemas.openxmlformats.org/officeDocument/2006/relationships/hyperlink" Target="https://www.tesla.com/careers/search/?type=1&amp;region=5&amp;site=US&amp;state=CA&amp;location=San%20Diego" TargetMode="External"/><Relationship Id="rId20" Type="http://schemas.openxmlformats.org/officeDocument/2006/relationships/hyperlink" Target="https://www.tesla.com/careers/search/?type=1&amp;region=5&amp;site=US&amp;state=CA&amp;location=San%20Diego" TargetMode="External"/><Relationship Id="rId22" Type="http://schemas.openxmlformats.org/officeDocument/2006/relationships/hyperlink" Target="https://www.tesla.com/careers/search/?type=1&amp;region=5&amp;site=US&amp;state=CA&amp;location=San%20Diego" TargetMode="External"/><Relationship Id="rId21" Type="http://schemas.openxmlformats.org/officeDocument/2006/relationships/hyperlink" Target="https://www.tesla.com/careers/search/?type=1&amp;region=5&amp;site=US&amp;state=CA&amp;location=San%20Diego" TargetMode="External"/><Relationship Id="rId24" Type="http://schemas.openxmlformats.org/officeDocument/2006/relationships/hyperlink" Target="https://www.tesla.com/careers/search/?type=1&amp;region=5&amp;site=US&amp;state=CA&amp;location=San%20Diego" TargetMode="External"/><Relationship Id="rId23" Type="http://schemas.openxmlformats.org/officeDocument/2006/relationships/hyperlink" Target="https://www.tesla.com/careers/search/?type=1&amp;region=5&amp;site=US&amp;state=CA&amp;location=San%20Diego" TargetMode="External"/><Relationship Id="rId409" Type="http://schemas.openxmlformats.org/officeDocument/2006/relationships/hyperlink" Target="https://jobs.ashbyhq.com/graymatter-robotics/4e46049a-a261-4f17-9ca3-b1d50c19f169" TargetMode="External"/><Relationship Id="rId404" Type="http://schemas.openxmlformats.org/officeDocument/2006/relationships/hyperlink" Target="https://jobs.ashbyhq.com/graymatter-robotics" TargetMode="External"/><Relationship Id="rId525" Type="http://schemas.openxmlformats.org/officeDocument/2006/relationships/hyperlink" Target="https://jobs.boeing.com/job/los-angeles/experienced-mechanisms-engineer/185/85174693168" TargetMode="External"/><Relationship Id="rId646" Type="http://schemas.openxmlformats.org/officeDocument/2006/relationships/hyperlink" Target="https://jobs.boeing.com/search-jobs/Los%20Angeles%2C%20CA/185/4/6252001-5332921-5368381-5368361/34x05223/-118x24368/50/2" TargetMode="External"/><Relationship Id="rId403" Type="http://schemas.openxmlformats.org/officeDocument/2006/relationships/hyperlink" Target="https://jobs.ashbyhq.com/graymatter-robotics/0d819d81-9013-485c-b3b2-b2253621ad8c" TargetMode="External"/><Relationship Id="rId524" Type="http://schemas.openxmlformats.org/officeDocument/2006/relationships/hyperlink" Target="https://jobs.boeing.com/search-jobs/Los%20Angeles%2C%20CA/185/4/6252001-5332921-5368381-5368361/34x05223/-118x24368/50/2" TargetMode="External"/><Relationship Id="rId645" Type="http://schemas.openxmlformats.org/officeDocument/2006/relationships/hyperlink" Target="https://jobs.boeing.com/job/long-beach/experienced-procurement-analyst/185/88699480256" TargetMode="External"/><Relationship Id="rId402" Type="http://schemas.openxmlformats.org/officeDocument/2006/relationships/hyperlink" Target="https://jobs.ashbyhq.com/graymatter-robotics" TargetMode="External"/><Relationship Id="rId523" Type="http://schemas.openxmlformats.org/officeDocument/2006/relationships/hyperlink" Target="https://jobs.boeing.com/job/los-angeles/senior-software-engineers-systems/185/85327420816" TargetMode="External"/><Relationship Id="rId644" Type="http://schemas.openxmlformats.org/officeDocument/2006/relationships/hyperlink" Target="https://jobs.boeing.com/search-jobs/Los%20Angeles%2C%20CA/185/4/6252001-5332921-5368381-5368361/34x05223/-118x24368/50/2" TargetMode="External"/><Relationship Id="rId401" Type="http://schemas.openxmlformats.org/officeDocument/2006/relationships/hyperlink" Target="https://jobs.ashbyhq.com/graymatter-robotics/d641a19c-c877-49b4-8740-a7fbb6c86888" TargetMode="External"/><Relationship Id="rId522" Type="http://schemas.openxmlformats.org/officeDocument/2006/relationships/hyperlink" Target="https://jobs.boeing.com/search-jobs/Los%20Angeles%2C%20CA/185/4/6252001-5332921-5368381-5368361/34x05223/-118x24368/50/2" TargetMode="External"/><Relationship Id="rId643" Type="http://schemas.openxmlformats.org/officeDocument/2006/relationships/hyperlink" Target="https://jobs.boeing.com/job/long-beach/associate-supply-chain-specialist-asset-manager/185/88845953696" TargetMode="External"/><Relationship Id="rId408" Type="http://schemas.openxmlformats.org/officeDocument/2006/relationships/hyperlink" Target="https://jobs.ashbyhq.com/graymatter-robotics" TargetMode="External"/><Relationship Id="rId529" Type="http://schemas.openxmlformats.org/officeDocument/2006/relationships/hyperlink" Target="https://jobs.boeing.com/job/los-angeles/software-engineer-developer-experienced-or-senior-level/185/84808570608" TargetMode="External"/><Relationship Id="rId407" Type="http://schemas.openxmlformats.org/officeDocument/2006/relationships/hyperlink" Target="https://jobs.ashbyhq.com/graymatter-robotics/b17273ca-66a1-4e6c-968a-79ae9b71f4c1" TargetMode="External"/><Relationship Id="rId528" Type="http://schemas.openxmlformats.org/officeDocument/2006/relationships/hyperlink" Target="https://jobs.boeing.com/search-jobs/Los%20Angeles%2C%20CA/185/4/6252001-5332921-5368381-5368361/34x05223/-118x24368/50/2" TargetMode="External"/><Relationship Id="rId649" Type="http://schemas.openxmlformats.org/officeDocument/2006/relationships/hyperlink" Target="https://jobs.boeing.com/job/long-beach/software-engineer-embedded-embedded/185/88401179792" TargetMode="External"/><Relationship Id="rId406" Type="http://schemas.openxmlformats.org/officeDocument/2006/relationships/hyperlink" Target="https://jobs.ashbyhq.com/graymatter-robotics" TargetMode="External"/><Relationship Id="rId527" Type="http://schemas.openxmlformats.org/officeDocument/2006/relationships/hyperlink" Target="https://jobs.boeing.com/job/los-angeles/software-engineer-developer-experienced-or-senior-level/185/84808570608" TargetMode="External"/><Relationship Id="rId648" Type="http://schemas.openxmlformats.org/officeDocument/2006/relationships/hyperlink" Target="https://jobs.boeing.com/search-jobs/Los%20Angeles%2C%20CA/185/4/6252001-5332921-5368381-5368361/34x05223/-118x24368/50/2" TargetMode="External"/><Relationship Id="rId405" Type="http://schemas.openxmlformats.org/officeDocument/2006/relationships/hyperlink" Target="https://jobs.ashbyhq.com/graymatter-robotics/b3ccaee6-9c32-428f-aba6-2819e3c1d9d6" TargetMode="External"/><Relationship Id="rId526" Type="http://schemas.openxmlformats.org/officeDocument/2006/relationships/hyperlink" Target="https://jobs.boeing.com/search-jobs/Los%20Angeles%2C%20CA/185/4/6252001-5332921-5368381-5368361/34x05223/-118x24368/50/2" TargetMode="External"/><Relationship Id="rId647" Type="http://schemas.openxmlformats.org/officeDocument/2006/relationships/hyperlink" Target="https://jobs.boeing.com/job/long-beach/software-project-engineering-lead/185/88588098736" TargetMode="External"/><Relationship Id="rId26" Type="http://schemas.openxmlformats.org/officeDocument/2006/relationships/hyperlink" Target="https://www.tesla.com/careers/search/?type=1&amp;region=5&amp;site=US&amp;state=CA&amp;location=San%20Diego" TargetMode="External"/><Relationship Id="rId25" Type="http://schemas.openxmlformats.org/officeDocument/2006/relationships/hyperlink" Target="https://www.tesla.com/careers/search/?type=1&amp;region=5&amp;site=US&amp;state=CA&amp;location=San%20Diego" TargetMode="External"/><Relationship Id="rId28" Type="http://schemas.openxmlformats.org/officeDocument/2006/relationships/hyperlink" Target="https://www.tesla.com/careers/search/?type=1&amp;region=5&amp;site=US&amp;state=CA&amp;location=San%20Diego" TargetMode="External"/><Relationship Id="rId27" Type="http://schemas.openxmlformats.org/officeDocument/2006/relationships/hyperlink" Target="https://www.tesla.com/careers/search/?type=1&amp;region=5&amp;site=US&amp;state=CA&amp;location=San%20Diego" TargetMode="External"/><Relationship Id="rId400" Type="http://schemas.openxmlformats.org/officeDocument/2006/relationships/hyperlink" Target="https://www.californiadairies.com/careers/" TargetMode="External"/><Relationship Id="rId521" Type="http://schemas.openxmlformats.org/officeDocument/2006/relationships/hyperlink" Target="https://jobs.boeing.com/job/los-angeles/deputy-chief-engineer/185/85919688240" TargetMode="External"/><Relationship Id="rId642" Type="http://schemas.openxmlformats.org/officeDocument/2006/relationships/hyperlink" Target="https://jobs.boeing.com/search-jobs/Los%20Angeles%2C%20CA/185/4/6252001-5332921-5368381-5368361/34x05223/-118x24368/50/2" TargetMode="External"/><Relationship Id="rId29" Type="http://schemas.openxmlformats.org/officeDocument/2006/relationships/hyperlink" Target="https://www.tesla.com/careers/search/?type=1&amp;region=5&amp;site=US&amp;state=CA&amp;location=San%20Diego" TargetMode="External"/><Relationship Id="rId520" Type="http://schemas.openxmlformats.org/officeDocument/2006/relationships/hyperlink" Target="https://jobs.boeing.com/search-jobs/Los%20Angeles%2C%20CA/185/4/6252001-5332921-5368381-5368361/34x05223/-118x24368/50/2" TargetMode="External"/><Relationship Id="rId641" Type="http://schemas.openxmlformats.org/officeDocument/2006/relationships/hyperlink" Target="https://jobs.boeing.com/job/long-beach/systems-engineering-manager-systems-engineering-management/185/88873266544" TargetMode="External"/><Relationship Id="rId640" Type="http://schemas.openxmlformats.org/officeDocument/2006/relationships/hyperlink" Target="https://jobs.boeing.com/search-jobs/Los%20Angeles%2C%20CA/185/4/6252001-5332921-5368381-5368361/34x05223/-118x24368/50/2" TargetMode="External"/><Relationship Id="rId11" Type="http://schemas.openxmlformats.org/officeDocument/2006/relationships/hyperlink" Target="https://www.tesla.com/careers/search/?type=1&amp;region=5&amp;site=US&amp;state=CA&amp;location=San%20Diego" TargetMode="External"/><Relationship Id="rId10" Type="http://schemas.openxmlformats.org/officeDocument/2006/relationships/hyperlink" Target="https://www.tesla.com/careers/search/?type=1&amp;region=5&amp;site=US&amp;state=CA&amp;location=San%20Diego" TargetMode="External"/><Relationship Id="rId13" Type="http://schemas.openxmlformats.org/officeDocument/2006/relationships/hyperlink" Target="https://www.tesla.com/careers/search/?type=1&amp;region=5&amp;site=US&amp;state=CA&amp;location=San%20Diego" TargetMode="External"/><Relationship Id="rId12" Type="http://schemas.openxmlformats.org/officeDocument/2006/relationships/hyperlink" Target="https://www.tesla.com/careers/search/?type=1&amp;region=5&amp;site=US&amp;state=CA&amp;location=San%20Diego" TargetMode="External"/><Relationship Id="rId519" Type="http://schemas.openxmlformats.org/officeDocument/2006/relationships/hyperlink" Target="https://jobs.boeing.com/job/los-angeles/mid-level-facilities-mechanical-hvac-engineer/185/85974563488" TargetMode="External"/><Relationship Id="rId514" Type="http://schemas.openxmlformats.org/officeDocument/2006/relationships/hyperlink" Target="https://jobs.boeing.com/search-jobs/Los%20Angeles%2C%20CA/185/4/6252001-5332921-5368381-5368361/34x05223/-118x24368/50/2" TargetMode="External"/><Relationship Id="rId635" Type="http://schemas.openxmlformats.org/officeDocument/2006/relationships/hyperlink" Target="https://jobs.boeing.com/job/long-beach/extended-operations-performance-standards-etops-engineer-mid-level-or-senior/185/88873269088" TargetMode="External"/><Relationship Id="rId513" Type="http://schemas.openxmlformats.org/officeDocument/2006/relationships/hyperlink" Target="https://jobs.boeing.com/job/los-angeles/project-management-manager/185/86855949360" TargetMode="External"/><Relationship Id="rId634" Type="http://schemas.openxmlformats.org/officeDocument/2006/relationships/hyperlink" Target="https://jobs.boeing.com/search-jobs/Los%20Angeles%2C%20CA/185/4/6252001-5332921-5368381-5368361/34x05223/-118x24368/50/2" TargetMode="External"/><Relationship Id="rId512" Type="http://schemas.openxmlformats.org/officeDocument/2006/relationships/hyperlink" Target="https://jobs.boeing.com/search-jobs/Los%20Angeles%2C%20CA/185/4/6252001-5332921-5368381-5368361/34x05223/-118x24368/50/2" TargetMode="External"/><Relationship Id="rId633" Type="http://schemas.openxmlformats.org/officeDocument/2006/relationships/hyperlink" Target="https://jobs.boeing.com/job/seal-beach/associate-quality-systems-specialist-regulatory-regulations/185/89064266544" TargetMode="External"/><Relationship Id="rId511" Type="http://schemas.openxmlformats.org/officeDocument/2006/relationships/hyperlink" Target="https://jobs.boeing.com/job/los-angeles/thermal-lab-mechanical-engineer-mid-level-or-senior/185/87013173456" TargetMode="External"/><Relationship Id="rId632" Type="http://schemas.openxmlformats.org/officeDocument/2006/relationships/hyperlink" Target="https://jobs.boeing.com/search-jobs/Los%20Angeles%2C%20CA/185/4/6252001-5332921-5368381-5368361/34x05223/-118x24368/50/2" TargetMode="External"/><Relationship Id="rId518" Type="http://schemas.openxmlformats.org/officeDocument/2006/relationships/hyperlink" Target="https://jobs.boeing.com/search-jobs/Los%20Angeles%2C%20CA/185/4/6252001-5332921-5368381-5368361/34x05223/-118x24368/50/2" TargetMode="External"/><Relationship Id="rId639" Type="http://schemas.openxmlformats.org/officeDocument/2006/relationships/hyperlink" Target="https://jobs.boeing.com/job/long-beach/extended-operations-performance-standards-etops-engineer-mid-level-or-senior/185/88873269088" TargetMode="External"/><Relationship Id="rId517" Type="http://schemas.openxmlformats.org/officeDocument/2006/relationships/hyperlink" Target="https://jobs.boeing.com/job/los-angeles/software-engineer-mid-level-or-senior/185/86518141040" TargetMode="External"/><Relationship Id="rId638" Type="http://schemas.openxmlformats.org/officeDocument/2006/relationships/hyperlink" Target="https://jobs.boeing.com/search-jobs/Los%20Angeles%2C%20CA/185/4/6252001-5332921-5368381-5368361/34x05223/-118x24368/50/2" TargetMode="External"/><Relationship Id="rId516" Type="http://schemas.openxmlformats.org/officeDocument/2006/relationships/hyperlink" Target="https://jobs.boeing.com/search-jobs/Los%20Angeles%2C%20CA/185/4/6252001-5332921-5368381-5368361/34x05223/-118x24368/50/2" TargetMode="External"/><Relationship Id="rId637" Type="http://schemas.openxmlformats.org/officeDocument/2006/relationships/hyperlink" Target="https://jobs.boeing.com/job/long-beach/extended-operations-performance-standards-etops-engineer-mid-level-or-senior/185/88873269088" TargetMode="External"/><Relationship Id="rId515" Type="http://schemas.openxmlformats.org/officeDocument/2006/relationships/hyperlink" Target="https://jobs.boeing.com/job/los-angeles/software-engineer-mid-level-or-senior/185/86518141040" TargetMode="External"/><Relationship Id="rId636" Type="http://schemas.openxmlformats.org/officeDocument/2006/relationships/hyperlink" Target="https://jobs.boeing.com/search-jobs/Los%20Angeles%2C%20CA/185/4/6252001-5332921-5368381-5368361/34x05223/-118x24368/50/2" TargetMode="External"/><Relationship Id="rId15" Type="http://schemas.openxmlformats.org/officeDocument/2006/relationships/hyperlink" Target="https://www.tesla.com/careers/search/?type=1&amp;region=5&amp;site=US&amp;state=CA&amp;location=San%20Diego" TargetMode="External"/><Relationship Id="rId14" Type="http://schemas.openxmlformats.org/officeDocument/2006/relationships/hyperlink" Target="https://www.tesla.com/careers/search/?type=1&amp;region=5&amp;site=US&amp;state=CA&amp;location=San%20Diego" TargetMode="External"/><Relationship Id="rId17" Type="http://schemas.openxmlformats.org/officeDocument/2006/relationships/hyperlink" Target="https://www.tesla.com/careers/search/?type=1&amp;region=5&amp;site=US&amp;state=CA&amp;location=San%20Diego" TargetMode="External"/><Relationship Id="rId16" Type="http://schemas.openxmlformats.org/officeDocument/2006/relationships/hyperlink" Target="https://www.tesla.com/careers/search/?type=1&amp;region=5&amp;site=US&amp;state=CA&amp;location=San%20Diego" TargetMode="External"/><Relationship Id="rId19" Type="http://schemas.openxmlformats.org/officeDocument/2006/relationships/hyperlink" Target="https://www.tesla.com/careers/search/?type=1&amp;region=5&amp;site=US&amp;state=CA&amp;location=San%20Diego" TargetMode="External"/><Relationship Id="rId510" Type="http://schemas.openxmlformats.org/officeDocument/2006/relationships/hyperlink" Target="https://jobs.boeing.com/search-jobs/Los%20Angeles%2C%20CA/185/4/6252001-5332921-5368381-5368361/34x05223/-118x24368/50/2" TargetMode="External"/><Relationship Id="rId631" Type="http://schemas.openxmlformats.org/officeDocument/2006/relationships/hyperlink" Target="https://jobs.boeing.com/job/seal-beach/senior-quality-engineer-regulatory-regulations/185/89064266560" TargetMode="External"/><Relationship Id="rId18" Type="http://schemas.openxmlformats.org/officeDocument/2006/relationships/hyperlink" Target="https://www.tesla.com/careers/search/?type=1&amp;region=5&amp;site=US&amp;state=CA&amp;location=San%20Diego" TargetMode="External"/><Relationship Id="rId630" Type="http://schemas.openxmlformats.org/officeDocument/2006/relationships/hyperlink" Target="https://jobs.boeing.com/search-jobs/Los%20Angeles%2C%20CA/185/4/6252001-5332921-5368381-5368361/34x05223/-118x24368/50/2" TargetMode="External"/><Relationship Id="rId84" Type="http://schemas.openxmlformats.org/officeDocument/2006/relationships/hyperlink" Target="https://jobs.crh.com/go/Oldcastle_Infrastructure/9231901/" TargetMode="External"/><Relationship Id="rId83" Type="http://schemas.openxmlformats.org/officeDocument/2006/relationships/hyperlink" Target="https://jobs.crh.com/go/Oldcastle_Infrastructure/9231901/" TargetMode="External"/><Relationship Id="rId86" Type="http://schemas.openxmlformats.org/officeDocument/2006/relationships/hyperlink" Target="https://jobs.crh.com/go/Oldcastle_Infrastructure/9231901/" TargetMode="External"/><Relationship Id="rId85" Type="http://schemas.openxmlformats.org/officeDocument/2006/relationships/hyperlink" Target="https://jobs.crh.com/go/Oldcastle_Infrastructure/9231901/" TargetMode="External"/><Relationship Id="rId88" Type="http://schemas.openxmlformats.org/officeDocument/2006/relationships/hyperlink" Target="https://jobs.crh.com/go/Oldcastle_Infrastructure/9231901/" TargetMode="External"/><Relationship Id="rId87" Type="http://schemas.openxmlformats.org/officeDocument/2006/relationships/hyperlink" Target="https://jobs.crh.com/go/Oldcastle_Infrastructure/9231901/" TargetMode="External"/><Relationship Id="rId89" Type="http://schemas.openxmlformats.org/officeDocument/2006/relationships/hyperlink" Target="https://jobs.crh.com/go/Oldcastle_Infrastructure/9231901/" TargetMode="External"/><Relationship Id="rId709" Type="http://schemas.openxmlformats.org/officeDocument/2006/relationships/hyperlink" Target="https://jobs.boeing.com/job/seattle/sap-technical-project-lead/185/88019644176" TargetMode="External"/><Relationship Id="rId708" Type="http://schemas.openxmlformats.org/officeDocument/2006/relationships/hyperlink" Target="https://jobs.boeing.com/search-jobs/Los%20Angeles%2C%20CA/185/4/6252001-5332921-5368381-5368361/34x05223/-118x24368/50/2" TargetMode="External"/><Relationship Id="rId707" Type="http://schemas.openxmlformats.org/officeDocument/2006/relationships/hyperlink" Target="https://jobs.boeing.com/job/seattle/sap-technical-project-lead/185/88019644176" TargetMode="External"/><Relationship Id="rId706" Type="http://schemas.openxmlformats.org/officeDocument/2006/relationships/hyperlink" Target="https://jobs.boeing.com/search-jobs/Los%20Angeles%2C%20CA/185/4/6252001-5332921-5368381-5368361/34x05223/-118x24368/50/2" TargetMode="External"/><Relationship Id="rId80" Type="http://schemas.openxmlformats.org/officeDocument/2006/relationships/hyperlink" Target="https://careers.resmed.com/" TargetMode="External"/><Relationship Id="rId82" Type="http://schemas.openxmlformats.org/officeDocument/2006/relationships/hyperlink" Target="https://jobs.crh.com/go/Oldcastle_Infrastructure/9231901/" TargetMode="External"/><Relationship Id="rId81" Type="http://schemas.openxmlformats.org/officeDocument/2006/relationships/hyperlink" Target="https://jobs.crh.com/go/Oldcastle_Infrastructure/9231901/" TargetMode="External"/><Relationship Id="rId701" Type="http://schemas.openxmlformats.org/officeDocument/2006/relationships/hyperlink" Target="https://jobs.boeing.com/job/huntington-beach/facilities-project-planner-mid-level-or-senior/185/88612175328" TargetMode="External"/><Relationship Id="rId700" Type="http://schemas.openxmlformats.org/officeDocument/2006/relationships/hyperlink" Target="https://jobs.boeing.com/search-jobs/Los%20Angeles%2C%20CA/185/4/6252001-5332921-5368381-5368361/34x05223/-118x24368/50/2" TargetMode="External"/><Relationship Id="rId705" Type="http://schemas.openxmlformats.org/officeDocument/2006/relationships/hyperlink" Target="https://jobs.boeing.com/job/huntington-beach/senior-finance-manager/185/88438685856" TargetMode="External"/><Relationship Id="rId704" Type="http://schemas.openxmlformats.org/officeDocument/2006/relationships/hyperlink" Target="https://jobs.boeing.com/search-jobs/Los%20Angeles%2C%20CA/185/4/6252001-5332921-5368381-5368361/34x05223/-118x24368/50/2" TargetMode="External"/><Relationship Id="rId703" Type="http://schemas.openxmlformats.org/officeDocument/2006/relationships/hyperlink" Target="https://jobs.boeing.com/job/huntington-beach/facilities-project-planner-mid-level-or-senior/185/88612175328" TargetMode="External"/><Relationship Id="rId702" Type="http://schemas.openxmlformats.org/officeDocument/2006/relationships/hyperlink" Target="https://jobs.boeing.com/search-jobs/Los%20Angeles%2C%20CA/185/4/6252001-5332921-5368381-5368361/34x05223/-118x24368/50/2" TargetMode="External"/><Relationship Id="rId73" Type="http://schemas.openxmlformats.org/officeDocument/2006/relationships/hyperlink" Target="https://careers.resmed.com/" TargetMode="External"/><Relationship Id="rId72" Type="http://schemas.openxmlformats.org/officeDocument/2006/relationships/hyperlink" Target="https://careers.resmed.com/" TargetMode="External"/><Relationship Id="rId75" Type="http://schemas.openxmlformats.org/officeDocument/2006/relationships/hyperlink" Target="https://careers.resmed.com/" TargetMode="External"/><Relationship Id="rId74" Type="http://schemas.openxmlformats.org/officeDocument/2006/relationships/hyperlink" Target="https://careers.resmed.com/" TargetMode="External"/><Relationship Id="rId77" Type="http://schemas.openxmlformats.org/officeDocument/2006/relationships/hyperlink" Target="https://careers.resmed.com/" TargetMode="External"/><Relationship Id="rId76" Type="http://schemas.openxmlformats.org/officeDocument/2006/relationships/hyperlink" Target="https://careers.resmed.com/" TargetMode="External"/><Relationship Id="rId79" Type="http://schemas.openxmlformats.org/officeDocument/2006/relationships/hyperlink" Target="https://careers.resmed.com/" TargetMode="External"/><Relationship Id="rId78" Type="http://schemas.openxmlformats.org/officeDocument/2006/relationships/hyperlink" Target="https://careers.resmed.com/" TargetMode="External"/><Relationship Id="rId71" Type="http://schemas.openxmlformats.org/officeDocument/2006/relationships/hyperlink" Target="https://careers.resmed.com/" TargetMode="External"/><Relationship Id="rId70" Type="http://schemas.openxmlformats.org/officeDocument/2006/relationships/hyperlink" Target="https://careers.resmed.com/" TargetMode="External"/><Relationship Id="rId62" Type="http://schemas.openxmlformats.org/officeDocument/2006/relationships/hyperlink" Target="https://www.tesla.com/careers/search/?type=1&amp;region=5&amp;site=US&amp;state=CA&amp;location=San%20Diego" TargetMode="External"/><Relationship Id="rId61" Type="http://schemas.openxmlformats.org/officeDocument/2006/relationships/hyperlink" Target="https://www.tesla.com/careers/search/?type=1&amp;region=5&amp;site=US&amp;state=CA&amp;location=San%20Diego" TargetMode="External"/><Relationship Id="rId64" Type="http://schemas.openxmlformats.org/officeDocument/2006/relationships/hyperlink" Target="https://careers.resmed.com/" TargetMode="External"/><Relationship Id="rId63" Type="http://schemas.openxmlformats.org/officeDocument/2006/relationships/hyperlink" Target="https://careers.resmed.com/" TargetMode="External"/><Relationship Id="rId66" Type="http://schemas.openxmlformats.org/officeDocument/2006/relationships/hyperlink" Target="https://careers.resmed.com/" TargetMode="External"/><Relationship Id="rId65" Type="http://schemas.openxmlformats.org/officeDocument/2006/relationships/hyperlink" Target="https://careers.resmed.com/" TargetMode="External"/><Relationship Id="rId68" Type="http://schemas.openxmlformats.org/officeDocument/2006/relationships/hyperlink" Target="https://careers.resmed.com/" TargetMode="External"/><Relationship Id="rId67" Type="http://schemas.openxmlformats.org/officeDocument/2006/relationships/hyperlink" Target="https://careers.resmed.com/" TargetMode="External"/><Relationship Id="rId609" Type="http://schemas.openxmlformats.org/officeDocument/2006/relationships/hyperlink" Target="https://jobs.boeing.com/job/seattle/senior-cloud-solutions-architect/185/88139497376" TargetMode="External"/><Relationship Id="rId608" Type="http://schemas.openxmlformats.org/officeDocument/2006/relationships/hyperlink" Target="https://jobs.boeing.com/search-jobs/Los%20Angeles%2C%20CA/185/4/6252001-5332921-5368381-5368361/34x05223/-118x24368/50/2" TargetMode="External"/><Relationship Id="rId607" Type="http://schemas.openxmlformats.org/officeDocument/2006/relationships/hyperlink" Target="https://jobs.boeing.com/job/seattle/senior-cloud-solutions-architect/185/88139497376" TargetMode="External"/><Relationship Id="rId60" Type="http://schemas.openxmlformats.org/officeDocument/2006/relationships/hyperlink" Target="https://www.tesla.com/careers/search/?type=1&amp;region=5&amp;site=US&amp;state=CA&amp;location=San%20Diego" TargetMode="External"/><Relationship Id="rId602" Type="http://schemas.openxmlformats.org/officeDocument/2006/relationships/hyperlink" Target="https://jobs.boeing.com/search-jobs/Los%20Angeles%2C%20CA/185/4/6252001-5332921-5368381-5368361/34x05223/-118x24368/50/2" TargetMode="External"/><Relationship Id="rId723" Type="http://schemas.openxmlformats.org/officeDocument/2006/relationships/hyperlink" Target="https://jobs.boeing.com/job/mesa/yocto-linux-mid-level-senior-software-engineer-virtual/185/86866225168" TargetMode="External"/><Relationship Id="rId601" Type="http://schemas.openxmlformats.org/officeDocument/2006/relationships/hyperlink" Target="https://jobs.boeing.com/job/seal-beach/guidance-navigation-and-control-engineer-experienced-lead-senior/185/88289459360" TargetMode="External"/><Relationship Id="rId722" Type="http://schemas.openxmlformats.org/officeDocument/2006/relationships/hyperlink" Target="https://jobs.boeing.com/search-jobs/Los%20Angeles%2C%20CA/185/4/6252001-5332921-5368381-5368361/34x05223/-118x24368/50/2" TargetMode="External"/><Relationship Id="rId600" Type="http://schemas.openxmlformats.org/officeDocument/2006/relationships/hyperlink" Target="https://jobs.boeing.com/search-jobs/Los%20Angeles%2C%20CA/185/4/6252001-5332921-5368381-5368361/34x05223/-118x24368/50/2" TargetMode="External"/><Relationship Id="rId721" Type="http://schemas.openxmlformats.org/officeDocument/2006/relationships/hyperlink" Target="https://jobs.boeing.com/job/mesa/yocto-linux-mid-level-senior-software-engineer-virtual/185/86866225168" TargetMode="External"/><Relationship Id="rId720" Type="http://schemas.openxmlformats.org/officeDocument/2006/relationships/hyperlink" Target="https://jobs.boeing.com/search-jobs/Los%20Angeles%2C%20CA/185/4/6252001-5332921-5368381-5368361/34x05223/-118x24368/50/2" TargetMode="External"/><Relationship Id="rId606" Type="http://schemas.openxmlformats.org/officeDocument/2006/relationships/hyperlink" Target="https://jobs.boeing.com/search-jobs/Los%20Angeles%2C%20CA/185/4/6252001-5332921-5368381-5368361/34x05223/-118x24368/50/2" TargetMode="External"/><Relationship Id="rId727" Type="http://schemas.openxmlformats.org/officeDocument/2006/relationships/table" Target="../tables/table1.xml"/><Relationship Id="rId605" Type="http://schemas.openxmlformats.org/officeDocument/2006/relationships/hyperlink" Target="https://jobs.boeing.com/job/seattle/senior-devops-developer/185/88139497392" TargetMode="External"/><Relationship Id="rId604" Type="http://schemas.openxmlformats.org/officeDocument/2006/relationships/hyperlink" Target="https://jobs.boeing.com/search-jobs/Los%20Angeles%2C%20CA/185/4/6252001-5332921-5368381-5368361/34x05223/-118x24368/50/2" TargetMode="External"/><Relationship Id="rId725" Type="http://schemas.openxmlformats.org/officeDocument/2006/relationships/drawing" Target="../drawings/drawing1.xml"/><Relationship Id="rId603" Type="http://schemas.openxmlformats.org/officeDocument/2006/relationships/hyperlink" Target="https://jobs.boeing.com/job/seattle/senior-devops-developer/185/88139497392" TargetMode="External"/><Relationship Id="rId724" Type="http://schemas.openxmlformats.org/officeDocument/2006/relationships/hyperlink" Target="https://jobs.boeing.com/search-jobs/Los%20Angeles%2C%20CA/185/4/6252001-5332921-5368381-5368361/34x05223/-118x24368/50/2" TargetMode="External"/><Relationship Id="rId69" Type="http://schemas.openxmlformats.org/officeDocument/2006/relationships/hyperlink" Target="https://careers.resmed.com/" TargetMode="External"/><Relationship Id="rId51" Type="http://schemas.openxmlformats.org/officeDocument/2006/relationships/hyperlink" Target="https://www.tesla.com/careers/search/?type=1&amp;region=5&amp;site=US&amp;state=CA&amp;location=San%20Diego" TargetMode="External"/><Relationship Id="rId50" Type="http://schemas.openxmlformats.org/officeDocument/2006/relationships/hyperlink" Target="https://www.tesla.com/careers/search/?type=1&amp;region=5&amp;site=US&amp;state=CA&amp;location=San%20Diego" TargetMode="External"/><Relationship Id="rId53" Type="http://schemas.openxmlformats.org/officeDocument/2006/relationships/hyperlink" Target="https://www.tesla.com/careers/search/?type=1&amp;region=5&amp;site=US&amp;state=CA&amp;location=San%20Diego" TargetMode="External"/><Relationship Id="rId52" Type="http://schemas.openxmlformats.org/officeDocument/2006/relationships/hyperlink" Target="https://www.tesla.com/careers/search/?type=1&amp;region=5&amp;site=US&amp;state=CA&amp;location=San%20Diego" TargetMode="External"/><Relationship Id="rId55" Type="http://schemas.openxmlformats.org/officeDocument/2006/relationships/hyperlink" Target="https://www.tesla.com/careers/search/?type=1&amp;region=5&amp;site=US&amp;state=CA&amp;location=San%20Diego" TargetMode="External"/><Relationship Id="rId54" Type="http://schemas.openxmlformats.org/officeDocument/2006/relationships/hyperlink" Target="https://www.tesla.com/careers/search/?type=1&amp;region=5&amp;site=US&amp;state=CA&amp;location=San%20Diego" TargetMode="External"/><Relationship Id="rId57" Type="http://schemas.openxmlformats.org/officeDocument/2006/relationships/hyperlink" Target="https://www.tesla.com/careers/search/?type=1&amp;region=5&amp;site=US&amp;state=CA&amp;location=San%20Diego" TargetMode="External"/><Relationship Id="rId56" Type="http://schemas.openxmlformats.org/officeDocument/2006/relationships/hyperlink" Target="https://www.tesla.com/careers/search/?type=1&amp;region=5&amp;site=US&amp;state=CA&amp;location=San%20Diego" TargetMode="External"/><Relationship Id="rId719" Type="http://schemas.openxmlformats.org/officeDocument/2006/relationships/hyperlink" Target="https://jobs.boeing.com/job/orlando/software-security-engineer-experienced-or-senior-virtual/185/87224725248" TargetMode="External"/><Relationship Id="rId718" Type="http://schemas.openxmlformats.org/officeDocument/2006/relationships/hyperlink" Target="https://jobs.boeing.com/search-jobs/Los%20Angeles%2C%20CA/185/4/6252001-5332921-5368381-5368361/34x05223/-118x24368/50/2" TargetMode="External"/><Relationship Id="rId717" Type="http://schemas.openxmlformats.org/officeDocument/2006/relationships/hyperlink" Target="https://jobs.boeing.com/job/orlando/software-security-engineer-experienced-or-senior-virtual/185/87224725248" TargetMode="External"/><Relationship Id="rId712" Type="http://schemas.openxmlformats.org/officeDocument/2006/relationships/hyperlink" Target="https://jobs.boeing.com/search-jobs/Los%20Angeles%2C%20CA/185/4/6252001-5332921-5368381-5368361/34x05223/-118x24368/50/2" TargetMode="External"/><Relationship Id="rId711" Type="http://schemas.openxmlformats.org/officeDocument/2006/relationships/hyperlink" Target="https://jobs.boeing.com/job/north-charleston/senior-software-engineer/185/84060737584" TargetMode="External"/><Relationship Id="rId710" Type="http://schemas.openxmlformats.org/officeDocument/2006/relationships/hyperlink" Target="https://jobs.boeing.com/search-jobs/Los%20Angeles%2C%20CA/185/4/6252001-5332921-5368381-5368361/34x05223/-118x24368/50/2" TargetMode="External"/><Relationship Id="rId716" Type="http://schemas.openxmlformats.org/officeDocument/2006/relationships/hyperlink" Target="https://jobs.boeing.com/search-jobs/Los%20Angeles%2C%20CA/185/4/6252001-5332921-5368381-5368361/34x05223/-118x24368/50/2" TargetMode="External"/><Relationship Id="rId715" Type="http://schemas.openxmlformats.org/officeDocument/2006/relationships/hyperlink" Target="https://jobs.boeing.com/job/maryland-heights/business-development-manager/185/88052118992" TargetMode="External"/><Relationship Id="rId714" Type="http://schemas.openxmlformats.org/officeDocument/2006/relationships/hyperlink" Target="https://jobs.boeing.com/search-jobs/Los%20Angeles%2C%20CA/185/4/6252001-5332921-5368381-5368361/34x05223/-118x24368/50/2" TargetMode="External"/><Relationship Id="rId713" Type="http://schemas.openxmlformats.org/officeDocument/2006/relationships/hyperlink" Target="https://jobs.boeing.com/job/north-charleston/senior-software-engineer/185/84060737584" TargetMode="External"/><Relationship Id="rId59" Type="http://schemas.openxmlformats.org/officeDocument/2006/relationships/hyperlink" Target="https://www.tesla.com/careers/search/?type=1&amp;region=5&amp;site=US&amp;state=CA&amp;location=San%20Diego" TargetMode="External"/><Relationship Id="rId58" Type="http://schemas.openxmlformats.org/officeDocument/2006/relationships/hyperlink" Target="https://www.tesla.com/careers/search/?type=1&amp;region=5&amp;site=US&amp;state=CA&amp;location=San%20Diego" TargetMode="External"/><Relationship Id="rId590" Type="http://schemas.openxmlformats.org/officeDocument/2006/relationships/hyperlink" Target="https://jobs.boeing.com/search-jobs/Los%20Angeles%2C%20CA/185/4/6252001-5332921-5368381-5368361/34x05223/-118x24368/50/2" TargetMode="External"/><Relationship Id="rId107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28" Type="http://schemas.openxmlformats.org/officeDocument/2006/relationships/hyperlink" Target="https://careers.dexcom.com/careers/index" TargetMode="External"/><Relationship Id="rId349" Type="http://schemas.openxmlformats.org/officeDocument/2006/relationships/hyperlink" Target="https://portal.fritolayemployment.com/fritocareers/JobDetail?jobId=502986&amp;recommendation=&amp;jobName=Merchandiser+-+Seasonal&amp;source=&amp;tags=" TargetMode="External"/><Relationship Id="rId106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27" Type="http://schemas.openxmlformats.org/officeDocument/2006/relationships/hyperlink" Target="https://careers.dexcom.com/careers?domain=dexcom.com&amp;start=30&amp;location=San+Diego%2C+CA%2C+United+States&amp;pid=30948534&amp;sort_by=distance&amp;filter_distance=80&amp;filter_include_remote=1" TargetMode="External"/><Relationship Id="rId348" Type="http://schemas.openxmlformats.org/officeDocument/2006/relationships/hyperlink" Target="https://portal.fritolayemployment.com/fritocareers" TargetMode="External"/><Relationship Id="rId469" Type="http://schemas.openxmlformats.org/officeDocument/2006/relationships/hyperlink" Target="https://jobs.boeing.com/job/los-angeles/production-control-support-materials-management-2/185/88836294064" TargetMode="External"/><Relationship Id="rId105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26" Type="http://schemas.openxmlformats.org/officeDocument/2006/relationships/hyperlink" Target="https://careers.dexcom.com/careers/index" TargetMode="External"/><Relationship Id="rId347" Type="http://schemas.openxmlformats.org/officeDocument/2006/relationships/hyperlink" Target="https://portal.fritolayemployment.com/fritocareers/JobDetail?jobId=500653&amp;recommendation=&amp;jobName=Route+Sales+Representative&amp;source=&amp;tags=" TargetMode="External"/><Relationship Id="rId468" Type="http://schemas.openxmlformats.org/officeDocument/2006/relationships/hyperlink" Target="https://jobs.boeing.com/search-jobs/Los%20Angeles%2C%20CA/185/4/6252001-5332921-5368381-5368361/34x05223/-118x24368/50/2" TargetMode="External"/><Relationship Id="rId589" Type="http://schemas.openxmlformats.org/officeDocument/2006/relationships/hyperlink" Target="https://jobs.boeing.com/job/seal-beach/material-estimating-and-pricing-specialist-experienced-or-senior/185/88690712096" TargetMode="External"/><Relationship Id="rId104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25" Type="http://schemas.openxmlformats.org/officeDocument/2006/relationships/hyperlink" Target="https://careers.dexcom.com/careers?domain=dexcom.com&amp;start=30&amp;location=San+Diego%2C+CA%2C+United+States&amp;pid=30682102&amp;sort_by=distance&amp;filter_distance=80&amp;filter_include_remote=1" TargetMode="External"/><Relationship Id="rId346" Type="http://schemas.openxmlformats.org/officeDocument/2006/relationships/hyperlink" Target="https://portal.fritolayemployment.com/fritocareers" TargetMode="External"/><Relationship Id="rId467" Type="http://schemas.openxmlformats.org/officeDocument/2006/relationships/hyperlink" Target="https://jobs.boeing.com/job/los-angeles/associate-manufacturing-engineer-electrical/185/88873255536" TargetMode="External"/><Relationship Id="rId588" Type="http://schemas.openxmlformats.org/officeDocument/2006/relationships/hyperlink" Target="https://jobs.boeing.com/search-jobs/Los%20Angeles%2C%20CA/185/4/6252001-5332921-5368381-5368361/34x05223/-118x24368/50/2" TargetMode="External"/><Relationship Id="rId109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108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29" Type="http://schemas.openxmlformats.org/officeDocument/2006/relationships/hyperlink" Target="https://careers.dexcom.com/careers?domain=dexcom.com&amp;start=30&amp;location=San+Diego%2C+CA%2C+United+States&amp;pid=38950278&amp;sort_by=distance&amp;filter_distance=80&amp;filter_include_remote=1" TargetMode="External"/><Relationship Id="rId220" Type="http://schemas.openxmlformats.org/officeDocument/2006/relationships/hyperlink" Target="https://careers.dexcom.com/careers/index" TargetMode="External"/><Relationship Id="rId341" Type="http://schemas.openxmlformats.org/officeDocument/2006/relationships/hyperlink" Target="https://portal.fritolayemployment.com/fritocareers/JobDetail?jobId=503835&amp;recommendation=&amp;jobName=Route+Sales+Representative&amp;source=&amp;tags=" TargetMode="External"/><Relationship Id="rId462" Type="http://schemas.openxmlformats.org/officeDocument/2006/relationships/hyperlink" Target="https://jobs.boeing.com/search-jobs/Los%20Angeles%2C%20CA/185/4/6252001-5332921-5368381-5368361/34x05223/-118x24368/50/2" TargetMode="External"/><Relationship Id="rId583" Type="http://schemas.openxmlformats.org/officeDocument/2006/relationships/hyperlink" Target="https://jobs.boeing.com/job/seal-beach/material-estimating-and-pricing-specialist-experienced-or-senior/185/88690713408" TargetMode="External"/><Relationship Id="rId340" Type="http://schemas.openxmlformats.org/officeDocument/2006/relationships/hyperlink" Target="https://portal.fritolayemployment.com/fritocareers" TargetMode="External"/><Relationship Id="rId461" Type="http://schemas.openxmlformats.org/officeDocument/2006/relationships/hyperlink" Target="https://jobs.boeing.com/job/los-angeles/space-communications-payload-systems-engineer-lead-or-senior/185/88882208560" TargetMode="External"/><Relationship Id="rId582" Type="http://schemas.openxmlformats.org/officeDocument/2006/relationships/hyperlink" Target="https://jobs.boeing.com/search-jobs/Los%20Angeles%2C%20CA/185/4/6252001-5332921-5368381-5368361/34x05223/-118x24368/50/2" TargetMode="External"/><Relationship Id="rId460" Type="http://schemas.openxmlformats.org/officeDocument/2006/relationships/hyperlink" Target="https://jobs.boeing.com/search-jobs/Los%20Angeles%2C%20CA/185/4/6252001-5332921-5368381-5368361/34x05223/-118x24368/50/2" TargetMode="External"/><Relationship Id="rId581" Type="http://schemas.openxmlformats.org/officeDocument/2006/relationships/hyperlink" Target="https://jobs.boeing.com/job/everett/experienced-facilities-analyst/185/88794868112" TargetMode="External"/><Relationship Id="rId580" Type="http://schemas.openxmlformats.org/officeDocument/2006/relationships/hyperlink" Target="https://jobs.boeing.com/search-jobs/Los%20Angeles%2C%20CA/185/4/6252001-5332921-5368381-5368361/34x05223/-118x24368/50/2" TargetMode="External"/><Relationship Id="rId103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24" Type="http://schemas.openxmlformats.org/officeDocument/2006/relationships/hyperlink" Target="https://careers.dexcom.com/careers/index" TargetMode="External"/><Relationship Id="rId345" Type="http://schemas.openxmlformats.org/officeDocument/2006/relationships/hyperlink" Target="https://portal.fritolayemployment.com/fritocareers/JobDetail?jobId=503111&amp;recommendation=&amp;jobName=Route+Sales+Representative&amp;source=&amp;tags=" TargetMode="External"/><Relationship Id="rId466" Type="http://schemas.openxmlformats.org/officeDocument/2006/relationships/hyperlink" Target="https://jobs.boeing.com/search-jobs/Los%20Angeles%2C%20CA/185/4/6252001-5332921-5368381-5368361/34x05223/-118x24368/50/2" TargetMode="External"/><Relationship Id="rId587" Type="http://schemas.openxmlformats.org/officeDocument/2006/relationships/hyperlink" Target="https://jobs.boeing.com/job/seal-beach/material-estimating-and-pricing-specialist-experienced-or-senior/185/88690712096" TargetMode="External"/><Relationship Id="rId102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23" Type="http://schemas.openxmlformats.org/officeDocument/2006/relationships/hyperlink" Target="https://careers.dexcom.com/careers?domain=dexcom.com&amp;start=30&amp;location=San+Diego%2C+CA%2C+United+States&amp;pid=30552960&amp;sort_by=distance&amp;filter_distance=80&amp;filter_include_remote=1" TargetMode="External"/><Relationship Id="rId344" Type="http://schemas.openxmlformats.org/officeDocument/2006/relationships/hyperlink" Target="https://portal.fritolayemployment.com/fritocareers" TargetMode="External"/><Relationship Id="rId465" Type="http://schemas.openxmlformats.org/officeDocument/2006/relationships/hyperlink" Target="https://jobs.boeing.com/job/los-angeles/asic-fpga-design-engineering-manager/185/88873270256" TargetMode="External"/><Relationship Id="rId586" Type="http://schemas.openxmlformats.org/officeDocument/2006/relationships/hyperlink" Target="https://jobs.boeing.com/search-jobs/Los%20Angeles%2C%20CA/185/4/6252001-5332921-5368381-5368361/34x05223/-118x24368/50/2" TargetMode="External"/><Relationship Id="rId101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22" Type="http://schemas.openxmlformats.org/officeDocument/2006/relationships/hyperlink" Target="https://careers.dexcom.com/careers/index" TargetMode="External"/><Relationship Id="rId343" Type="http://schemas.openxmlformats.org/officeDocument/2006/relationships/hyperlink" Target="https://portal.fritolayemployment.com/fritocareers/JobDetail?jobId=503243&amp;recommendation=&amp;jobName=Route+Sales+Representative&amp;source=&amp;tags=" TargetMode="External"/><Relationship Id="rId464" Type="http://schemas.openxmlformats.org/officeDocument/2006/relationships/hyperlink" Target="https://jobs.boeing.com/search-jobs/Los%20Angeles%2C%20CA/185/4/6252001-5332921-5368381-5368361/34x05223/-118x24368/50/2" TargetMode="External"/><Relationship Id="rId585" Type="http://schemas.openxmlformats.org/officeDocument/2006/relationships/hyperlink" Target="https://jobs.boeing.com/job/seal-beach/material-estimating-and-pricing-specialist-experienced-or-senior/185/88690713408" TargetMode="External"/><Relationship Id="rId100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21" Type="http://schemas.openxmlformats.org/officeDocument/2006/relationships/hyperlink" Target="https://careers.dexcom.com/careers?domain=dexcom.com&amp;start=30&amp;location=San+Diego%2C+CA%2C+United+States&amp;pid=30363827&amp;sort_by=distance&amp;filter_distance=80&amp;filter_include_remote=1" TargetMode="External"/><Relationship Id="rId342" Type="http://schemas.openxmlformats.org/officeDocument/2006/relationships/hyperlink" Target="https://portal.fritolayemployment.com/fritocareers" TargetMode="External"/><Relationship Id="rId463" Type="http://schemas.openxmlformats.org/officeDocument/2006/relationships/hyperlink" Target="https://jobs.boeing.com/job/los-angeles/space-communications-payload-systems-engineer-lead-or-senior/185/88882208560" TargetMode="External"/><Relationship Id="rId584" Type="http://schemas.openxmlformats.org/officeDocument/2006/relationships/hyperlink" Target="https://jobs.boeing.com/search-jobs/Los%20Angeles%2C%20CA/185/4/6252001-5332921-5368381-5368361/34x05223/-118x24368/50/2" TargetMode="External"/><Relationship Id="rId217" Type="http://schemas.openxmlformats.org/officeDocument/2006/relationships/hyperlink" Target="https://careers.dexcom.com/careers?domain=dexcom.com&amp;start=30&amp;location=San+Diego%2C+CA%2C+United+States&amp;pid=38600257&amp;sort_by=distance&amp;filter_distance=80&amp;filter_include_remote=1" TargetMode="External"/><Relationship Id="rId338" Type="http://schemas.openxmlformats.org/officeDocument/2006/relationships/hyperlink" Target="https://portal.fritolayemployment.com/fritocareers" TargetMode="External"/><Relationship Id="rId459" Type="http://schemas.openxmlformats.org/officeDocument/2006/relationships/hyperlink" Target="https://jobs.boeing.com/job/los-angeles/systems-engineer-lead-or-senior/185/88882208608" TargetMode="External"/><Relationship Id="rId216" Type="http://schemas.openxmlformats.org/officeDocument/2006/relationships/hyperlink" Target="https://careers.dexcom.com/careers/index" TargetMode="External"/><Relationship Id="rId337" Type="http://schemas.openxmlformats.org/officeDocument/2006/relationships/hyperlink" Target="https://portal.fritolayemployment.com/fritocareers/JobDetail?jobId=504491&amp;recommendation=&amp;jobName=Route+Sales+Representative&amp;source=&amp;tags=" TargetMode="External"/><Relationship Id="rId458" Type="http://schemas.openxmlformats.org/officeDocument/2006/relationships/hyperlink" Target="https://jobs.boeing.com/search-jobs/Los%20Angeles%2C%20CA/185/4/6252001-5332921-5368381-5368361/34x05223/-118x24368/50/2" TargetMode="External"/><Relationship Id="rId579" Type="http://schemas.openxmlformats.org/officeDocument/2006/relationships/hyperlink" Target="https://jobs.boeing.com/job/berkeley/senior-compliance-lead/185/88845953184" TargetMode="External"/><Relationship Id="rId215" Type="http://schemas.openxmlformats.org/officeDocument/2006/relationships/hyperlink" Target="https://careers.dexcom.com/careers?domain=dexcom.com&amp;start=30&amp;location=San+Diego%2C+CA%2C+United+States&amp;pid=38650203&amp;sort_by=distance&amp;filter_distance=80&amp;filter_include_remote=1" TargetMode="External"/><Relationship Id="rId336" Type="http://schemas.openxmlformats.org/officeDocument/2006/relationships/hyperlink" Target="https://portal.fritolayemployment.com/fritocareers" TargetMode="External"/><Relationship Id="rId457" Type="http://schemas.openxmlformats.org/officeDocument/2006/relationships/hyperlink" Target="https://jobs.boeing.com/job/los-angeles/systems-engineer-lead-or-senior/185/88882208608" TargetMode="External"/><Relationship Id="rId578" Type="http://schemas.openxmlformats.org/officeDocument/2006/relationships/hyperlink" Target="https://jobs.boeing.com/search-jobs/Los%20Angeles%2C%20CA/185/4/6252001-5332921-5368381-5368361/34x05223/-118x24368/50/2" TargetMode="External"/><Relationship Id="rId699" Type="http://schemas.openxmlformats.org/officeDocument/2006/relationships/hyperlink" Target="https://jobs.boeing.com/job/seal-beach/software-engineer-developer-mid-level-senior/185/83041569232" TargetMode="External"/><Relationship Id="rId214" Type="http://schemas.openxmlformats.org/officeDocument/2006/relationships/hyperlink" Target="https://careers.dexcom.com/careers/index" TargetMode="External"/><Relationship Id="rId335" Type="http://schemas.openxmlformats.org/officeDocument/2006/relationships/hyperlink" Target="https://portal.fritolayemployment.com/fritocareers/JobDetail?jobId=504679&amp;recommendation=&amp;jobName=Route+Sales+Representative&amp;source=&amp;tags=" TargetMode="External"/><Relationship Id="rId456" Type="http://schemas.openxmlformats.org/officeDocument/2006/relationships/hyperlink" Target="https://jobs.boeing.com/search-jobs/Los%20Angeles%2C%20CA/185/4/6252001-5332921-5368381-5368361/34x05223/-118x24368/50/2" TargetMode="External"/><Relationship Id="rId577" Type="http://schemas.openxmlformats.org/officeDocument/2006/relationships/hyperlink" Target="https://jobs.boeing.com/job/berkeley/senior-compliance-lead/185/88845953184" TargetMode="External"/><Relationship Id="rId698" Type="http://schemas.openxmlformats.org/officeDocument/2006/relationships/hyperlink" Target="https://jobs.boeing.com/search-jobs/Los%20Angeles%2C%20CA/185/4/6252001-5332921-5368381-5368361/34x05223/-118x24368/50/2" TargetMode="External"/><Relationship Id="rId219" Type="http://schemas.openxmlformats.org/officeDocument/2006/relationships/hyperlink" Target="https://careers.dexcom.com/careers?domain=dexcom.com&amp;start=30&amp;location=San+Diego%2C+CA%2C+United+States&amp;pid=38601292&amp;sort_by=distance&amp;filter_distance=80&amp;filter_include_remote=1" TargetMode="External"/><Relationship Id="rId218" Type="http://schemas.openxmlformats.org/officeDocument/2006/relationships/hyperlink" Target="https://careers.dexcom.com/careers/index" TargetMode="External"/><Relationship Id="rId339" Type="http://schemas.openxmlformats.org/officeDocument/2006/relationships/hyperlink" Target="https://portal.fritolayemployment.com/fritocareers/JobDetail?jobId=504492&amp;recommendation=&amp;jobName=Route+Sales+Representative&amp;source=&amp;tags=" TargetMode="External"/><Relationship Id="rId330" Type="http://schemas.openxmlformats.org/officeDocument/2006/relationships/hyperlink" Target="https://portal.fritolayemployment.com/fritocareers" TargetMode="External"/><Relationship Id="rId451" Type="http://schemas.openxmlformats.org/officeDocument/2006/relationships/hyperlink" Target="https://myjobs.adp.com/kaisercareers/cx/job-listing?FIELD1=California" TargetMode="External"/><Relationship Id="rId572" Type="http://schemas.openxmlformats.org/officeDocument/2006/relationships/hyperlink" Target="https://jobs.boeing.com/search-jobs/Los%20Angeles%2C%20CA/185/4/6252001-5332921-5368381-5368361/34x05223/-118x24368/50/2" TargetMode="External"/><Relationship Id="rId693" Type="http://schemas.openxmlformats.org/officeDocument/2006/relationships/hyperlink" Target="https://jobs.boeing.com/job/seal-beach/senior-project-engineer-service-related-problems-srp/185/88065169312" TargetMode="External"/><Relationship Id="rId450" Type="http://schemas.openxmlformats.org/officeDocument/2006/relationships/hyperlink" Target="https://myjobs.adp.com/kaisercareers/cx/job-listing?FIELD1=California" TargetMode="External"/><Relationship Id="rId571" Type="http://schemas.openxmlformats.org/officeDocument/2006/relationships/hyperlink" Target="https://jobs.boeing.com/job/everett/senior-project-management-specialist-organizational-change-management/185/88868969856" TargetMode="External"/><Relationship Id="rId692" Type="http://schemas.openxmlformats.org/officeDocument/2006/relationships/hyperlink" Target="https://jobs.boeing.com/search-jobs/Los%20Angeles%2C%20CA/185/4/6252001-5332921-5368381-5368361/34x05223/-118x24368/50/2" TargetMode="External"/><Relationship Id="rId570" Type="http://schemas.openxmlformats.org/officeDocument/2006/relationships/hyperlink" Target="https://jobs.boeing.com/search-jobs/Los%20Angeles%2C%20CA/185/4/6252001-5332921-5368381-5368361/34x05223/-118x24368/50/2" TargetMode="External"/><Relationship Id="rId691" Type="http://schemas.openxmlformats.org/officeDocument/2006/relationships/hyperlink" Target="https://jobs.boeing.com/job/seal-beach/programmer-analyst/185/88102127424" TargetMode="External"/><Relationship Id="rId690" Type="http://schemas.openxmlformats.org/officeDocument/2006/relationships/hyperlink" Target="https://jobs.boeing.com/search-jobs/Los%20Angeles%2C%20CA/185/4/6252001-5332921-5368381-5368361/34x05223/-118x24368/50/2" TargetMode="External"/><Relationship Id="rId213" Type="http://schemas.openxmlformats.org/officeDocument/2006/relationships/hyperlink" Target="https://careers.dexcom.com/careers?domain=dexcom.com&amp;start=30&amp;location=San+Diego%2C+CA%2C+United+States&amp;pid=38446073&amp;sort_by=distance&amp;filter_distance=80&amp;filter_include_remote=1" TargetMode="External"/><Relationship Id="rId334" Type="http://schemas.openxmlformats.org/officeDocument/2006/relationships/hyperlink" Target="https://portal.fritolayemployment.com/fritocareers" TargetMode="External"/><Relationship Id="rId455" Type="http://schemas.openxmlformats.org/officeDocument/2006/relationships/hyperlink" Target="https://jobs.boeing.com/job/los-angeles/lead-manufacturing-engineer/185/89064253888" TargetMode="External"/><Relationship Id="rId576" Type="http://schemas.openxmlformats.org/officeDocument/2006/relationships/hyperlink" Target="https://jobs.boeing.com/search-jobs/Los%20Angeles%2C%20CA/185/4/6252001-5332921-5368381-5368361/34x05223/-118x24368/50/2" TargetMode="External"/><Relationship Id="rId697" Type="http://schemas.openxmlformats.org/officeDocument/2006/relationships/hyperlink" Target="https://jobs.boeing.com/job/seal-beach/software-engineer-developer-mid-level-senior/185/83041569232" TargetMode="External"/><Relationship Id="rId212" Type="http://schemas.openxmlformats.org/officeDocument/2006/relationships/hyperlink" Target="https://careers.dexcom.com/careers/index" TargetMode="External"/><Relationship Id="rId333" Type="http://schemas.openxmlformats.org/officeDocument/2006/relationships/hyperlink" Target="https://portal.fritolayemployment.com/fritocareers/JobDetail?jobId=504675&amp;recommendation=&amp;jobName=Route+Sales+Representative&amp;source=&amp;tags=" TargetMode="External"/><Relationship Id="rId454" Type="http://schemas.openxmlformats.org/officeDocument/2006/relationships/hyperlink" Target="https://myjobs.adp.com/kaisercareers/cx/job-listing?FIELD1=California" TargetMode="External"/><Relationship Id="rId575" Type="http://schemas.openxmlformats.org/officeDocument/2006/relationships/hyperlink" Target="https://jobs.boeing.com/job/seattle/data-and-ai-platform-activation-senior-manager/185/88845954768" TargetMode="External"/><Relationship Id="rId696" Type="http://schemas.openxmlformats.org/officeDocument/2006/relationships/hyperlink" Target="https://jobs.boeing.com/search-jobs/Los%20Angeles%2C%20CA/185/4/6252001-5332921-5368381-5368361/34x05223/-118x24368/50/2" TargetMode="External"/><Relationship Id="rId211" Type="http://schemas.openxmlformats.org/officeDocument/2006/relationships/hyperlink" Target="https://careers.dexcom.com/careers?domain=dexcom.com&amp;start=20&amp;location=San+Diego%2C+CA%2C+United+States&amp;pid=38446073&amp;sort_by=distance&amp;filter_distance=80&amp;filter_include_remote=1" TargetMode="External"/><Relationship Id="rId332" Type="http://schemas.openxmlformats.org/officeDocument/2006/relationships/hyperlink" Target="https://portal.fritolayemployment.com/fritocareers" TargetMode="External"/><Relationship Id="rId453" Type="http://schemas.openxmlformats.org/officeDocument/2006/relationships/hyperlink" Target="https://myjobs.adp.com/kaisercareers/cx/job-listing?FIELD1=California" TargetMode="External"/><Relationship Id="rId574" Type="http://schemas.openxmlformats.org/officeDocument/2006/relationships/hyperlink" Target="https://jobs.boeing.com/search-jobs/Los%20Angeles%2C%20CA/185/4/6252001-5332921-5368381-5368361/34x05223/-118x24368/50/2" TargetMode="External"/><Relationship Id="rId695" Type="http://schemas.openxmlformats.org/officeDocument/2006/relationships/hyperlink" Target="https://jobs.boeing.com/job/seal-beach/software-engineer-developer-mid-level-senior/185/83041569232" TargetMode="External"/><Relationship Id="rId210" Type="http://schemas.openxmlformats.org/officeDocument/2006/relationships/hyperlink" Target="https://careers.dexcom.com/careers/index" TargetMode="External"/><Relationship Id="rId331" Type="http://schemas.openxmlformats.org/officeDocument/2006/relationships/hyperlink" Target="https://portal.fritolayemployment.com/fritocareers/JobDetail?jobId=505046&amp;recommendation=&amp;jobName=Route+Sales+Representative&amp;source=&amp;tags=" TargetMode="External"/><Relationship Id="rId452" Type="http://schemas.openxmlformats.org/officeDocument/2006/relationships/hyperlink" Target="https://myjobs.adp.com/kaisercareers/cx/job-listing?FIELD1=California" TargetMode="External"/><Relationship Id="rId573" Type="http://schemas.openxmlformats.org/officeDocument/2006/relationships/hyperlink" Target="https://jobs.boeing.com/job/seattle/software-asset-management-manager/185/88868964048" TargetMode="External"/><Relationship Id="rId694" Type="http://schemas.openxmlformats.org/officeDocument/2006/relationships/hyperlink" Target="https://jobs.boeing.com/search-jobs/Los%20Angeles%2C%20CA/185/4/6252001-5332921-5368381-5368361/34x05223/-118x24368/50/2" TargetMode="External"/><Relationship Id="rId370" Type="http://schemas.openxmlformats.org/officeDocument/2006/relationships/hyperlink" Target="https://www.gusmerenterprises.com/careers/" TargetMode="External"/><Relationship Id="rId491" Type="http://schemas.openxmlformats.org/officeDocument/2006/relationships/hyperlink" Target="https://jobs.boeing.com/job/los-angeles/space-communications-and-sensor-payload-systems-engineer-associate-experienced-lead/185/88387812512" TargetMode="External"/><Relationship Id="rId490" Type="http://schemas.openxmlformats.org/officeDocument/2006/relationships/hyperlink" Target="https://jobs.boeing.com/search-jobs/Los%20Angeles%2C%20CA/185/4/6252001-5332921-5368381-5368361/34x05223/-118x24368/50/2" TargetMode="External"/><Relationship Id="rId129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128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49" Type="http://schemas.openxmlformats.org/officeDocument/2006/relationships/hyperlink" Target="https://careers.dexcom.com/careers?domain=dexcom.com&amp;start=40&amp;location=San+Diego%2C+CA%2C+United+States&amp;pid=38841482&amp;sort_by=distance&amp;filter_distance=80&amp;filter_include_remote=1" TargetMode="External"/><Relationship Id="rId127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48" Type="http://schemas.openxmlformats.org/officeDocument/2006/relationships/hyperlink" Target="https://careers.dexcom.com/careers/index" TargetMode="External"/><Relationship Id="rId369" Type="http://schemas.openxmlformats.org/officeDocument/2006/relationships/hyperlink" Target="https://www.gusmerenterprises.com/career/industrial-maintenance-mechanic/" TargetMode="External"/><Relationship Id="rId126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47" Type="http://schemas.openxmlformats.org/officeDocument/2006/relationships/hyperlink" Target="https://careers.dexcom.com/careers?domain=dexcom.com&amp;start=40&amp;location=San+Diego%2C+CA%2C+United+States&amp;pid=38744538&amp;sort_by=distance&amp;filter_distance=80&amp;filter_include_remote=1" TargetMode="External"/><Relationship Id="rId368" Type="http://schemas.openxmlformats.org/officeDocument/2006/relationships/hyperlink" Target="https://www.gusmerenterprises.com/careers/" TargetMode="External"/><Relationship Id="rId489" Type="http://schemas.openxmlformats.org/officeDocument/2006/relationships/hyperlink" Target="https://jobs.boeing.com/job/los-angeles/space-communications-and-sensor-payload-systems-engineer-associate-experienced-lead/185/88387812512" TargetMode="External"/><Relationship Id="rId121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42" Type="http://schemas.openxmlformats.org/officeDocument/2006/relationships/hyperlink" Target="https://careers.dexcom.com/careers/index" TargetMode="External"/><Relationship Id="rId363" Type="http://schemas.openxmlformats.org/officeDocument/2006/relationships/hyperlink" Target="https://portal.fritolayemployment.com/fritocareers/JobDetail?jobId=501659&amp;recommendation=&amp;jobName=Detailer+-+Part-Time&amp;source=&amp;tags=" TargetMode="External"/><Relationship Id="rId484" Type="http://schemas.openxmlformats.org/officeDocument/2006/relationships/hyperlink" Target="https://jobs.boeing.com/search-jobs/Los%20Angeles%2C%20CA/185/4/6252001-5332921-5368381-5368361/34x05223/-118x24368/50/2" TargetMode="External"/><Relationship Id="rId120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41" Type="http://schemas.openxmlformats.org/officeDocument/2006/relationships/hyperlink" Target="https://careers.dexcom.com/careers?domain=dexcom.com&amp;start=40&amp;location=San+Diego%2C+CA%2C+United+States&amp;pid=37867846&amp;sort_by=distance&amp;filter_distance=80&amp;filter_include_remote=1" TargetMode="External"/><Relationship Id="rId362" Type="http://schemas.openxmlformats.org/officeDocument/2006/relationships/hyperlink" Target="https://portal.fritolayemployment.com/fritocareers" TargetMode="External"/><Relationship Id="rId483" Type="http://schemas.openxmlformats.org/officeDocument/2006/relationships/hyperlink" Target="https://jobs.boeing.com/job/los-angeles/construction-project-management-specialist-associate-or-experienced/185/88550945040" TargetMode="External"/><Relationship Id="rId240" Type="http://schemas.openxmlformats.org/officeDocument/2006/relationships/hyperlink" Target="https://careers.dexcom.com/careers/index" TargetMode="External"/><Relationship Id="rId361" Type="http://schemas.openxmlformats.org/officeDocument/2006/relationships/hyperlink" Target="https://portal.fritolayemployment.com/fritocareers/JobDetail?jobId=502968&amp;recommendation=&amp;jobName=Detailer+-+Part-Time&amp;source=&amp;tags=" TargetMode="External"/><Relationship Id="rId482" Type="http://schemas.openxmlformats.org/officeDocument/2006/relationships/hyperlink" Target="https://jobs.boeing.com/search-jobs/Los%20Angeles%2C%20CA/185/4/6252001-5332921-5368381-5368361/34x05223/-118x24368/50/2" TargetMode="External"/><Relationship Id="rId360" Type="http://schemas.openxmlformats.org/officeDocument/2006/relationships/hyperlink" Target="https://portal.fritolayemployment.com/fritocareers" TargetMode="External"/><Relationship Id="rId481" Type="http://schemas.openxmlformats.org/officeDocument/2006/relationships/hyperlink" Target="https://jobs.boeing.com/job/los-angeles/systems-architect-model-based-systems-engineer-mbse-experienced-or-lead/185/88616600832" TargetMode="External"/><Relationship Id="rId125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46" Type="http://schemas.openxmlformats.org/officeDocument/2006/relationships/hyperlink" Target="https://careers.dexcom.com/careers/index" TargetMode="External"/><Relationship Id="rId367" Type="http://schemas.openxmlformats.org/officeDocument/2006/relationships/hyperlink" Target="https://www.gusmerenterprises.com/career/safety-coordinator-part-time/" TargetMode="External"/><Relationship Id="rId488" Type="http://schemas.openxmlformats.org/officeDocument/2006/relationships/hyperlink" Target="https://jobs.boeing.com/search-jobs/Los%20Angeles%2C%20CA/185/4/6252001-5332921-5368381-5368361/34x05223/-118x24368/50/2" TargetMode="External"/><Relationship Id="rId124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45" Type="http://schemas.openxmlformats.org/officeDocument/2006/relationships/hyperlink" Target="https://careers.dexcom.com/careers?domain=dexcom.com&amp;start=40&amp;location=San+Diego%2C+CA%2C+United+States&amp;pid=38691824&amp;sort_by=distance&amp;filter_distance=80&amp;filter_include_remote=1" TargetMode="External"/><Relationship Id="rId366" Type="http://schemas.openxmlformats.org/officeDocument/2006/relationships/hyperlink" Target="https://portal.fritolayemployment.com/fritocareers" TargetMode="External"/><Relationship Id="rId487" Type="http://schemas.openxmlformats.org/officeDocument/2006/relationships/hyperlink" Target="https://jobs.boeing.com/job/los-angeles/space-communications-and-sensor-payload-systems-engineer-associate-experienced-lead/185/88387812512" TargetMode="External"/><Relationship Id="rId123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44" Type="http://schemas.openxmlformats.org/officeDocument/2006/relationships/hyperlink" Target="https://careers.dexcom.com/careers/index" TargetMode="External"/><Relationship Id="rId365" Type="http://schemas.openxmlformats.org/officeDocument/2006/relationships/hyperlink" Target="https://portal.fritolayemployment.com/fritocareers/JobDetail?jobId=505148&amp;recommendation=&amp;jobName=Delivery+Specialist+%28no+CDL%29&amp;source=&amp;tags=" TargetMode="External"/><Relationship Id="rId486" Type="http://schemas.openxmlformats.org/officeDocument/2006/relationships/hyperlink" Target="https://jobs.boeing.com/search-jobs/Los%20Angeles%2C%20CA/185/4/6252001-5332921-5368381-5368361/34x05223/-118x24368/50/2" TargetMode="External"/><Relationship Id="rId122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43" Type="http://schemas.openxmlformats.org/officeDocument/2006/relationships/hyperlink" Target="https://careers.dexcom.com/careers?domain=dexcom.com&amp;start=40&amp;location=San+Diego%2C+CA%2C+United+States&amp;pid=38689354&amp;sort_by=distance&amp;filter_distance=80&amp;filter_include_remote=1" TargetMode="External"/><Relationship Id="rId364" Type="http://schemas.openxmlformats.org/officeDocument/2006/relationships/hyperlink" Target="https://portal.fritolayemployment.com/fritocareers" TargetMode="External"/><Relationship Id="rId485" Type="http://schemas.openxmlformats.org/officeDocument/2006/relationships/hyperlink" Target="https://jobs.boeing.com/job/los-angeles/construction-project-management-specialist-associate-or-experienced/185/88550945040" TargetMode="External"/><Relationship Id="rId95" Type="http://schemas.openxmlformats.org/officeDocument/2006/relationships/hyperlink" Target="https://www.ga.com/careers/" TargetMode="External"/><Relationship Id="rId94" Type="http://schemas.openxmlformats.org/officeDocument/2006/relationships/hyperlink" Target="https://www.ga.com/careers/" TargetMode="External"/><Relationship Id="rId97" Type="http://schemas.openxmlformats.org/officeDocument/2006/relationships/hyperlink" Target="https://www.ga.com/careers/" TargetMode="External"/><Relationship Id="rId96" Type="http://schemas.openxmlformats.org/officeDocument/2006/relationships/hyperlink" Target="https://www.ga.com/careers/" TargetMode="External"/><Relationship Id="rId99" Type="http://schemas.openxmlformats.org/officeDocument/2006/relationships/hyperlink" Target="https://www.ga.com/careers/" TargetMode="External"/><Relationship Id="rId480" Type="http://schemas.openxmlformats.org/officeDocument/2006/relationships/hyperlink" Target="https://jobs.boeing.com/search-jobs/Los%20Angeles%2C%20CA/185/4/6252001-5332921-5368381-5368361/34x05223/-118x24368/50/2" TargetMode="External"/><Relationship Id="rId98" Type="http://schemas.openxmlformats.org/officeDocument/2006/relationships/hyperlink" Target="https://www.ga.com/careers/" TargetMode="External"/><Relationship Id="rId91" Type="http://schemas.openxmlformats.org/officeDocument/2006/relationships/hyperlink" Target="https://jobs.crh.com/go/Oldcastle_Infrastructure/9231901/" TargetMode="External"/><Relationship Id="rId90" Type="http://schemas.openxmlformats.org/officeDocument/2006/relationships/hyperlink" Target="https://jobs.crh.com/go/Oldcastle_Infrastructure/9231901/" TargetMode="External"/><Relationship Id="rId93" Type="http://schemas.openxmlformats.org/officeDocument/2006/relationships/hyperlink" Target="https://www.ga.com/careers/" TargetMode="External"/><Relationship Id="rId92" Type="http://schemas.openxmlformats.org/officeDocument/2006/relationships/hyperlink" Target="https://jobs.crh.com/go/Oldcastle_Infrastructure/9231901/" TargetMode="External"/><Relationship Id="rId118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39" Type="http://schemas.openxmlformats.org/officeDocument/2006/relationships/hyperlink" Target="https://careers.dexcom.com/careers?domain=dexcom.com&amp;start=40&amp;location=San+Diego%2C+CA%2C+United+States&amp;pid=39097431&amp;sort_by=distance&amp;filter_distance=80&amp;filter_include_remote=1" TargetMode="External"/><Relationship Id="rId117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38" Type="http://schemas.openxmlformats.org/officeDocument/2006/relationships/hyperlink" Target="https://careers.dexcom.com/careers/index" TargetMode="External"/><Relationship Id="rId359" Type="http://schemas.openxmlformats.org/officeDocument/2006/relationships/hyperlink" Target="https://portal.fritolayemployment.com/fritocareers/JobDetail?jobId=504674&amp;recommendation=&amp;jobName=Detailer+-+Part-Time&amp;source=&amp;tags=" TargetMode="External"/><Relationship Id="rId116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37" Type="http://schemas.openxmlformats.org/officeDocument/2006/relationships/hyperlink" Target="https://careers.dexcom.com/careers?domain=dexcom.com&amp;start=40&amp;location=San+Diego%2C+CA%2C+United+States&amp;pid=39060707&amp;sort_by=distance&amp;filter_distance=80&amp;filter_include_remote=1" TargetMode="External"/><Relationship Id="rId358" Type="http://schemas.openxmlformats.org/officeDocument/2006/relationships/hyperlink" Target="https://portal.fritolayemployment.com/fritocareers" TargetMode="External"/><Relationship Id="rId479" Type="http://schemas.openxmlformats.org/officeDocument/2006/relationships/hyperlink" Target="https://jobs.boeing.com/job/los-angeles/systems-architect-model-based-systems-engineer-mbse-experienced-or-lead/185/88616600832" TargetMode="External"/><Relationship Id="rId115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36" Type="http://schemas.openxmlformats.org/officeDocument/2006/relationships/hyperlink" Target="https://careers.dexcom.com/careers/index" TargetMode="External"/><Relationship Id="rId357" Type="http://schemas.openxmlformats.org/officeDocument/2006/relationships/hyperlink" Target="https://portal.fritolayemployment.com/fritocareers/JobDetail?jobId=505024&amp;recommendation=&amp;jobName=Geographical+Enterprise+Solutions+%28GES%29+Part-Time+Picker%2FLoader+4th+Shift&amp;source=&amp;tags=" TargetMode="External"/><Relationship Id="rId478" Type="http://schemas.openxmlformats.org/officeDocument/2006/relationships/hyperlink" Target="https://jobs.boeing.com/search-jobs/Los%20Angeles%2C%20CA/185/4/6252001-5332921-5368381-5368361/34x05223/-118x24368/50/2" TargetMode="External"/><Relationship Id="rId599" Type="http://schemas.openxmlformats.org/officeDocument/2006/relationships/hyperlink" Target="https://jobs.boeing.com/job/seal-beach/guidance-navigation-and-control-engineer-experienced-lead-senior/185/88289459360" TargetMode="External"/><Relationship Id="rId119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110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31" Type="http://schemas.openxmlformats.org/officeDocument/2006/relationships/hyperlink" Target="https://careers.dexcom.com/careers?domain=dexcom.com&amp;start=30&amp;location=San+Diego%2C+CA%2C+United+States&amp;pid=38966407&amp;sort_by=distance&amp;filter_distance=80&amp;filter_include_remote=1" TargetMode="External"/><Relationship Id="rId352" Type="http://schemas.openxmlformats.org/officeDocument/2006/relationships/hyperlink" Target="https://portal.fritolayemployment.com/fritocareers" TargetMode="External"/><Relationship Id="rId473" Type="http://schemas.openxmlformats.org/officeDocument/2006/relationships/hyperlink" Target="https://jobs.boeing.com/job/los-angeles/labor-relations-specialist-experienced-or-senior/185/88699480320" TargetMode="External"/><Relationship Id="rId594" Type="http://schemas.openxmlformats.org/officeDocument/2006/relationships/hyperlink" Target="https://jobs.boeing.com/search-jobs/Los%20Angeles%2C%20CA/185/4/6252001-5332921-5368381-5368361/34x05223/-118x24368/50/2" TargetMode="External"/><Relationship Id="rId230" Type="http://schemas.openxmlformats.org/officeDocument/2006/relationships/hyperlink" Target="https://careers.dexcom.com/careers/index" TargetMode="External"/><Relationship Id="rId351" Type="http://schemas.openxmlformats.org/officeDocument/2006/relationships/hyperlink" Target="https://portal.fritolayemployment.com/fritocareers/JobDetail?jobId=500654&amp;recommendation=&amp;jobName=Merchandiser+-+Seasonal&amp;source=&amp;tags=" TargetMode="External"/><Relationship Id="rId472" Type="http://schemas.openxmlformats.org/officeDocument/2006/relationships/hyperlink" Target="https://jobs.boeing.com/search-jobs/Los%20Angeles%2C%20CA/185/4/6252001-5332921-5368381-5368361/34x05223/-118x24368/50/2" TargetMode="External"/><Relationship Id="rId593" Type="http://schemas.openxmlformats.org/officeDocument/2006/relationships/hyperlink" Target="https://jobs.boeing.com/job/everett/lead-program-administrator/185/88616601792" TargetMode="External"/><Relationship Id="rId350" Type="http://schemas.openxmlformats.org/officeDocument/2006/relationships/hyperlink" Target="https://portal.fritolayemployment.com/fritocareers" TargetMode="External"/><Relationship Id="rId471" Type="http://schemas.openxmlformats.org/officeDocument/2006/relationships/hyperlink" Target="https://jobs.boeing.com/job/los-angeles/labor-relations-specialist-experienced-or-senior/185/88699480320" TargetMode="External"/><Relationship Id="rId592" Type="http://schemas.openxmlformats.org/officeDocument/2006/relationships/hyperlink" Target="https://jobs.boeing.com/search-jobs/Los%20Angeles%2C%20CA/185/4/6252001-5332921-5368381-5368361/34x05223/-118x24368/50/2" TargetMode="External"/><Relationship Id="rId470" Type="http://schemas.openxmlformats.org/officeDocument/2006/relationships/hyperlink" Target="https://jobs.boeing.com/search-jobs/Los%20Angeles%2C%20CA/185/4/6252001-5332921-5368381-5368361/34x05223/-118x24368/50/2" TargetMode="External"/><Relationship Id="rId591" Type="http://schemas.openxmlformats.org/officeDocument/2006/relationships/hyperlink" Target="https://jobs.boeing.com/job/renton/experienced-facilities-analyst/185/88662877072" TargetMode="External"/><Relationship Id="rId114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35" Type="http://schemas.openxmlformats.org/officeDocument/2006/relationships/hyperlink" Target="https://careers.dexcom.com/careers?domain=dexcom.com&amp;start=40&amp;location=San+Diego%2C+CA%2C+United+States&amp;pid=38650202&amp;sort_by=distance&amp;filter_distance=80&amp;filter_include_remote=1" TargetMode="External"/><Relationship Id="rId356" Type="http://schemas.openxmlformats.org/officeDocument/2006/relationships/hyperlink" Target="https://portal.fritolayemployment.com/fritocareers" TargetMode="External"/><Relationship Id="rId477" Type="http://schemas.openxmlformats.org/officeDocument/2006/relationships/hyperlink" Target="https://jobs.boeing.com/job/los-angeles/senior-business-operations-lead/185/88649527968" TargetMode="External"/><Relationship Id="rId598" Type="http://schemas.openxmlformats.org/officeDocument/2006/relationships/hyperlink" Target="https://jobs.boeing.com/search-jobs/Los%20Angeles%2C%20CA/185/4/6252001-5332921-5368381-5368361/34x05223/-118x24368/50/2" TargetMode="External"/><Relationship Id="rId113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34" Type="http://schemas.openxmlformats.org/officeDocument/2006/relationships/hyperlink" Target="https://careers.dexcom.com/careers/index" TargetMode="External"/><Relationship Id="rId355" Type="http://schemas.openxmlformats.org/officeDocument/2006/relationships/hyperlink" Target="https://portal.fritolayemployment.com/fritocareers/JobDetail?jobId=502492&amp;recommendation=&amp;jobName=Merchandiser&amp;source=&amp;tags=" TargetMode="External"/><Relationship Id="rId476" Type="http://schemas.openxmlformats.org/officeDocument/2006/relationships/hyperlink" Target="https://jobs.boeing.com/search-jobs/Los%20Angeles%2C%20CA/185/4/6252001-5332921-5368381-5368361/34x05223/-118x24368/50/2" TargetMode="External"/><Relationship Id="rId597" Type="http://schemas.openxmlformats.org/officeDocument/2006/relationships/hyperlink" Target="https://jobs.boeing.com/job/seal-beach/guidance-navigation-and-control-engineer-experienced-lead-senior/185/88289459360" TargetMode="External"/><Relationship Id="rId112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33" Type="http://schemas.openxmlformats.org/officeDocument/2006/relationships/hyperlink" Target="https://careers.dexcom.com/careers?domain=dexcom.com&amp;start=40&amp;location=San+Diego%2C+CA%2C+United+States&amp;pid=38744540&amp;sort_by=distance&amp;filter_distance=80&amp;filter_include_remote=1" TargetMode="External"/><Relationship Id="rId354" Type="http://schemas.openxmlformats.org/officeDocument/2006/relationships/hyperlink" Target="https://portal.fritolayemployment.com/fritocareers" TargetMode="External"/><Relationship Id="rId475" Type="http://schemas.openxmlformats.org/officeDocument/2006/relationships/hyperlink" Target="https://jobs.boeing.com/job/los-angeles/senior-business-operations-lead/185/88649527968" TargetMode="External"/><Relationship Id="rId596" Type="http://schemas.openxmlformats.org/officeDocument/2006/relationships/hyperlink" Target="https://jobs.boeing.com/search-jobs/Los%20Angeles%2C%20CA/185/4/6252001-5332921-5368381-5368361/34x05223/-118x24368/50/2" TargetMode="External"/><Relationship Id="rId111" Type="http://schemas.openxmlformats.org/officeDocument/2006/relationships/hyperlink" Target="https://www.asml.com/en/company/about-asml/locations/san-diego?ty=sea&amp;na=eb-sd&amp;au=tln&amp;th=pc&amp;im=beat&amp;rg=us&amp;ch=gsrc&amp;st=cns&amp;srg=san-diego&amp;sau=asml-careers&amp;cty=txt&amp;crt=rsa&amp;gad_source=1&amp;gad_campaignid=19833152392&amp;gbraid=0AAAAABqlvFY_ouADxQh3VcM3G-rA4d8-n&amp;gclid=CjwKCAiAlrXJBhBAEiwA-5pgwmZ4IImFkrY6AnBjDXVoYBVRXZBhn1-7zn3Bkm46qAsBfpBLhopxbhoCnH8QAvD_BwE" TargetMode="External"/><Relationship Id="rId232" Type="http://schemas.openxmlformats.org/officeDocument/2006/relationships/hyperlink" Target="https://careers.dexcom.com/careers/index" TargetMode="External"/><Relationship Id="rId353" Type="http://schemas.openxmlformats.org/officeDocument/2006/relationships/hyperlink" Target="https://portal.fritolayemployment.com/fritocareers/JobDetail?jobId=504677&amp;recommendation=&amp;jobName=Merchandiser&amp;source=&amp;tags=" TargetMode="External"/><Relationship Id="rId474" Type="http://schemas.openxmlformats.org/officeDocument/2006/relationships/hyperlink" Target="https://jobs.boeing.com/search-jobs/Los%20Angeles%2C%20CA/185/4/6252001-5332921-5368381-5368361/34x05223/-118x24368/50/2" TargetMode="External"/><Relationship Id="rId595" Type="http://schemas.openxmlformats.org/officeDocument/2006/relationships/hyperlink" Target="https://jobs.boeing.com/job/seattle/mid-level-security-design-specialist/185/88579071520" TargetMode="External"/><Relationship Id="rId305" Type="http://schemas.openxmlformats.org/officeDocument/2006/relationships/hyperlink" Target="https://www.pgcareers.com/us/en" TargetMode="External"/><Relationship Id="rId426" Type="http://schemas.openxmlformats.org/officeDocument/2006/relationships/hyperlink" Target="https://jobs.ashbyhq.com/graymatter-robotics" TargetMode="External"/><Relationship Id="rId547" Type="http://schemas.openxmlformats.org/officeDocument/2006/relationships/hyperlink" Target="https://jobs.boeing.com/job/los-angeles/flight-software-engineer-associate-experienced-senior/185/82529846960" TargetMode="External"/><Relationship Id="rId668" Type="http://schemas.openxmlformats.org/officeDocument/2006/relationships/hyperlink" Target="https://jobs.boeing.com/search-jobs/Los%20Angeles%2C%20CA/185/4/6252001-5332921-5368381-5368361/34x05223/-118x24368/50/2" TargetMode="External"/><Relationship Id="rId304" Type="http://schemas.openxmlformats.org/officeDocument/2006/relationships/hyperlink" Target="https://careers.dexcom.com/careers/index" TargetMode="External"/><Relationship Id="rId425" Type="http://schemas.openxmlformats.org/officeDocument/2006/relationships/hyperlink" Target="https://jobs.ashbyhq.com/graymatter-robotics/8156de98-57d3-453c-9305-59a154320add" TargetMode="External"/><Relationship Id="rId546" Type="http://schemas.openxmlformats.org/officeDocument/2006/relationships/hyperlink" Target="https://jobs.boeing.com/search-jobs/Los%20Angeles%2C%20CA/185/4/6252001-5332921-5368381-5368361/34x05223/-118x24368/50/2" TargetMode="External"/><Relationship Id="rId667" Type="http://schemas.openxmlformats.org/officeDocument/2006/relationships/hyperlink" Target="https://jobs.boeing.com/job/seal-beach/senior-manager-environmental-remediation/185/88868974368" TargetMode="External"/><Relationship Id="rId303" Type="http://schemas.openxmlformats.org/officeDocument/2006/relationships/hyperlink" Target="https://careers.dexcom.com/careers?domain=dexcom.com&amp;start=70&amp;location=San+Diego%2C+CA%2C+United+States&amp;pid=39049356&amp;sort_by=distance&amp;filter_distance=80&amp;filter_include_remote=1" TargetMode="External"/><Relationship Id="rId424" Type="http://schemas.openxmlformats.org/officeDocument/2006/relationships/hyperlink" Target="https://jobs.ashbyhq.com/graymatter-robotics" TargetMode="External"/><Relationship Id="rId545" Type="http://schemas.openxmlformats.org/officeDocument/2006/relationships/hyperlink" Target="https://jobs.boeing.com/job/los-angeles/flight-software-engineer-associate-experienced-senior/185/82529846960" TargetMode="External"/><Relationship Id="rId666" Type="http://schemas.openxmlformats.org/officeDocument/2006/relationships/hyperlink" Target="https://jobs.boeing.com/search-jobs/Los%20Angeles%2C%20CA/185/4/6252001-5332921-5368381-5368361/34x05223/-118x24368/50/2" TargetMode="External"/><Relationship Id="rId302" Type="http://schemas.openxmlformats.org/officeDocument/2006/relationships/hyperlink" Target="https://careers.dexcom.com/careers/index" TargetMode="External"/><Relationship Id="rId423" Type="http://schemas.openxmlformats.org/officeDocument/2006/relationships/hyperlink" Target="https://jobs.ashbyhq.com/graymatter-robotics/0db6809a-4ab7-40ea-ae20-d2dc743a17cb" TargetMode="External"/><Relationship Id="rId544" Type="http://schemas.openxmlformats.org/officeDocument/2006/relationships/hyperlink" Target="https://jobs.boeing.com/search-jobs/Los%20Angeles%2C%20CA/185/4/6252001-5332921-5368381-5368361/34x05223/-118x24368/50/2" TargetMode="External"/><Relationship Id="rId665" Type="http://schemas.openxmlformats.org/officeDocument/2006/relationships/hyperlink" Target="https://jobs.boeing.com/job/seattle/senior-solution-cloud-architect/185/88873264480" TargetMode="External"/><Relationship Id="rId309" Type="http://schemas.openxmlformats.org/officeDocument/2006/relationships/hyperlink" Target="https://www.pgcareers.com/us/en" TargetMode="External"/><Relationship Id="rId308" Type="http://schemas.openxmlformats.org/officeDocument/2006/relationships/hyperlink" Target="https://www.pgcareers.com/us/en" TargetMode="External"/><Relationship Id="rId429" Type="http://schemas.openxmlformats.org/officeDocument/2006/relationships/hyperlink" Target="https://jobs.ashbyhq.com/graymatter-robotics/8f5e099e-4f3f-4d3b-9e27-ed843428b048" TargetMode="External"/><Relationship Id="rId307" Type="http://schemas.openxmlformats.org/officeDocument/2006/relationships/hyperlink" Target="https://www.pgcareers.com/us/en" TargetMode="External"/><Relationship Id="rId428" Type="http://schemas.openxmlformats.org/officeDocument/2006/relationships/hyperlink" Target="https://jobs.ashbyhq.com/graymatter-robotics" TargetMode="External"/><Relationship Id="rId549" Type="http://schemas.openxmlformats.org/officeDocument/2006/relationships/hyperlink" Target="https://jobs.boeing.com/job/los-angeles/software-process-lead-engineer/185/82479011488" TargetMode="External"/><Relationship Id="rId306" Type="http://schemas.openxmlformats.org/officeDocument/2006/relationships/hyperlink" Target="https://www.pgcareers.com/us/en" TargetMode="External"/><Relationship Id="rId427" Type="http://schemas.openxmlformats.org/officeDocument/2006/relationships/hyperlink" Target="https://jobs.ashbyhq.com/graymatter-robotics/b8170427-2552-4fd0-b871-6b044d03a185" TargetMode="External"/><Relationship Id="rId548" Type="http://schemas.openxmlformats.org/officeDocument/2006/relationships/hyperlink" Target="https://jobs.boeing.com/search-jobs/Los%20Angeles%2C%20CA/185/4/6252001-5332921-5368381-5368361/34x05223/-118x24368/50/2" TargetMode="External"/><Relationship Id="rId669" Type="http://schemas.openxmlformats.org/officeDocument/2006/relationships/hyperlink" Target="https://jobs.boeing.com/job/seattle/senior-legal-analyst/185/88690713552" TargetMode="External"/><Relationship Id="rId660" Type="http://schemas.openxmlformats.org/officeDocument/2006/relationships/hyperlink" Target="https://jobs.boeing.com/search-jobs/Los%20Angeles%2C%20CA/185/4/6252001-5332921-5368381-5368361/34x05223/-118x24368/50/2" TargetMode="External"/><Relationship Id="rId301" Type="http://schemas.openxmlformats.org/officeDocument/2006/relationships/hyperlink" Target="https://careers.dexcom.com/careers?domain=dexcom.com&amp;start=70&amp;location=San+Diego%2C+CA%2C+United+States&amp;pid=38950280&amp;sort_by=distance&amp;filter_distance=80&amp;filter_include_remote=1" TargetMode="External"/><Relationship Id="rId422" Type="http://schemas.openxmlformats.org/officeDocument/2006/relationships/hyperlink" Target="https://jobs.ashbyhq.com/graymatter-robotics" TargetMode="External"/><Relationship Id="rId543" Type="http://schemas.openxmlformats.org/officeDocument/2006/relationships/hyperlink" Target="https://jobs.boeing.com/job/los-angeles/flight-software-engineer-associate-experienced-senior/185/82529846960" TargetMode="External"/><Relationship Id="rId664" Type="http://schemas.openxmlformats.org/officeDocument/2006/relationships/hyperlink" Target="https://jobs.boeing.com/search-jobs/Los%20Angeles%2C%20CA/185/4/6252001-5332921-5368381-5368361/34x05223/-118x24368/50/2" TargetMode="External"/><Relationship Id="rId300" Type="http://schemas.openxmlformats.org/officeDocument/2006/relationships/hyperlink" Target="https://careers.dexcom.com/careers/index" TargetMode="External"/><Relationship Id="rId421" Type="http://schemas.openxmlformats.org/officeDocument/2006/relationships/hyperlink" Target="https://jobs.ashbyhq.com/graymatter-robotics/1e23dcff-795b-44d3-bfe9-42348737e284" TargetMode="External"/><Relationship Id="rId542" Type="http://schemas.openxmlformats.org/officeDocument/2006/relationships/hyperlink" Target="https://jobs.boeing.com/search-jobs/Los%20Angeles%2C%20CA/185/4/6252001-5332921-5368381-5368361/34x05223/-118x24368/50/2" TargetMode="External"/><Relationship Id="rId663" Type="http://schemas.openxmlformats.org/officeDocument/2006/relationships/hyperlink" Target="https://jobs.boeing.com/job/seal-beach/experienced-estimating-and-pricing-specialist/185/88882208704" TargetMode="External"/><Relationship Id="rId420" Type="http://schemas.openxmlformats.org/officeDocument/2006/relationships/hyperlink" Target="https://jobs.ashbyhq.com/graymatter-robotics" TargetMode="External"/><Relationship Id="rId541" Type="http://schemas.openxmlformats.org/officeDocument/2006/relationships/hyperlink" Target="https://jobs.boeing.com/job/los-angeles/flight-software-engineer-associate-experienced-senior/185/82529846960" TargetMode="External"/><Relationship Id="rId662" Type="http://schemas.openxmlformats.org/officeDocument/2006/relationships/hyperlink" Target="https://jobs.boeing.com/search-jobs/Los%20Angeles%2C%20CA/185/4/6252001-5332921-5368381-5368361/34x05223/-118x24368/50/2" TargetMode="External"/><Relationship Id="rId540" Type="http://schemas.openxmlformats.org/officeDocument/2006/relationships/hyperlink" Target="https://jobs.boeing.com/search-jobs/Los%20Angeles%2C%20CA/185/4/6252001-5332921-5368381-5368361/34x05223/-118x24368/50/2" TargetMode="External"/><Relationship Id="rId661" Type="http://schemas.openxmlformats.org/officeDocument/2006/relationships/hyperlink" Target="https://jobs.boeing.com/job/seal-beach/project-management-specialist-contractual-and-data-services/185/89064272480" TargetMode="External"/><Relationship Id="rId415" Type="http://schemas.openxmlformats.org/officeDocument/2006/relationships/hyperlink" Target="https://jobs.ashbyhq.com/graymatter-robotics/33f2fffb-c16c-4714-836b-5c845879efe6" TargetMode="External"/><Relationship Id="rId536" Type="http://schemas.openxmlformats.org/officeDocument/2006/relationships/hyperlink" Target="https://jobs.boeing.com/search-jobs/Los%20Angeles%2C%20CA/185/4/6252001-5332921-5368381-5368361/34x05223/-118x24368/50/2" TargetMode="External"/><Relationship Id="rId657" Type="http://schemas.openxmlformats.org/officeDocument/2006/relationships/hyperlink" Target="https://jobs.boeing.com/job/englewood/quality-systems-specialist-quality-systems-specialist-general/185/87224721216" TargetMode="External"/><Relationship Id="rId414" Type="http://schemas.openxmlformats.org/officeDocument/2006/relationships/hyperlink" Target="https://jobs.ashbyhq.com/graymatter-robotics" TargetMode="External"/><Relationship Id="rId535" Type="http://schemas.openxmlformats.org/officeDocument/2006/relationships/hyperlink" Target="https://jobs.boeing.com/job/los-angeles/design-and-analysis-engineer-communication-network-systems-design-senior-level/185/84712662448" TargetMode="External"/><Relationship Id="rId656" Type="http://schemas.openxmlformats.org/officeDocument/2006/relationships/hyperlink" Target="https://jobs.boeing.com/search-jobs/Los%20Angeles%2C%20CA/185/4/6252001-5332921-5368381-5368361/34x05223/-118x24368/50/2" TargetMode="External"/><Relationship Id="rId413" Type="http://schemas.openxmlformats.org/officeDocument/2006/relationships/hyperlink" Target="https://jobs.ashbyhq.com/graymatter-robotics/9c82239a-1480-47db-9f5c-4113e829232c" TargetMode="External"/><Relationship Id="rId534" Type="http://schemas.openxmlformats.org/officeDocument/2006/relationships/hyperlink" Target="https://jobs.boeing.com/search-jobs/Los%20Angeles%2C%20CA/185/4/6252001-5332921-5368381-5368361/34x05223/-118x24368/50/2" TargetMode="External"/><Relationship Id="rId655" Type="http://schemas.openxmlformats.org/officeDocument/2006/relationships/hyperlink" Target="https://jobs.boeing.com/job/englewood/quality-systems-specialist-quality-systems-specialist-general/185/87224721216" TargetMode="External"/><Relationship Id="rId412" Type="http://schemas.openxmlformats.org/officeDocument/2006/relationships/hyperlink" Target="https://jobs.ashbyhq.com/graymatter-robotics" TargetMode="External"/><Relationship Id="rId533" Type="http://schemas.openxmlformats.org/officeDocument/2006/relationships/hyperlink" Target="https://jobs.boeing.com/job/los-angeles/software-engineer-developer-experienced-or-senior-level/185/84808570608" TargetMode="External"/><Relationship Id="rId654" Type="http://schemas.openxmlformats.org/officeDocument/2006/relationships/hyperlink" Target="https://jobs.boeing.com/search-jobs/Los%20Angeles%2C%20CA/185/4/6252001-5332921-5368381-5368361/34x05223/-118x24368/50/2" TargetMode="External"/><Relationship Id="rId419" Type="http://schemas.openxmlformats.org/officeDocument/2006/relationships/hyperlink" Target="https://jobs.ashbyhq.com/graymatter-robotics/245b7097-9909-4fee-82c8-b9f0acf03f87" TargetMode="External"/><Relationship Id="rId418" Type="http://schemas.openxmlformats.org/officeDocument/2006/relationships/hyperlink" Target="https://jobs.ashbyhq.com/graymatter-robotics" TargetMode="External"/><Relationship Id="rId539" Type="http://schemas.openxmlformats.org/officeDocument/2006/relationships/hyperlink" Target="https://jobs.boeing.com/job/los-angeles/satellite-data-systems-full-stack-software-engineers-experienced-senior/185/84641505568" TargetMode="External"/><Relationship Id="rId417" Type="http://schemas.openxmlformats.org/officeDocument/2006/relationships/hyperlink" Target="https://jobs.ashbyhq.com/graymatter-robotics/adf6d70d-df0a-4966-843b-614cb5038d01" TargetMode="External"/><Relationship Id="rId538" Type="http://schemas.openxmlformats.org/officeDocument/2006/relationships/hyperlink" Target="https://jobs.boeing.com/search-jobs/Los%20Angeles%2C%20CA/185/4/6252001-5332921-5368381-5368361/34x05223/-118x24368/50/2" TargetMode="External"/><Relationship Id="rId659" Type="http://schemas.openxmlformats.org/officeDocument/2006/relationships/hyperlink" Target="https://jobs.boeing.com/job/long-beach/design-and-analysis-engineer-electronic-sys-design-and-analy/185/86998772016" TargetMode="External"/><Relationship Id="rId416" Type="http://schemas.openxmlformats.org/officeDocument/2006/relationships/hyperlink" Target="https://jobs.ashbyhq.com/graymatter-robotics" TargetMode="External"/><Relationship Id="rId537" Type="http://schemas.openxmlformats.org/officeDocument/2006/relationships/hyperlink" Target="https://jobs.boeing.com/job/los-angeles/satellite-data-systems-full-stack-software-engineers-experienced-senior/185/84641505568" TargetMode="External"/><Relationship Id="rId658" Type="http://schemas.openxmlformats.org/officeDocument/2006/relationships/hyperlink" Target="https://jobs.boeing.com/search-jobs/Los%20Angeles%2C%20CA/185/4/6252001-5332921-5368381-5368361/34x05223/-118x24368/50/2" TargetMode="External"/><Relationship Id="rId411" Type="http://schemas.openxmlformats.org/officeDocument/2006/relationships/hyperlink" Target="https://jobs.ashbyhq.com/graymatter-robotics/dc45a3bc-05df-4625-841b-b2da4b658111" TargetMode="External"/><Relationship Id="rId532" Type="http://schemas.openxmlformats.org/officeDocument/2006/relationships/hyperlink" Target="https://jobs.boeing.com/search-jobs/Los%20Angeles%2C%20CA/185/4/6252001-5332921-5368381-5368361/34x05223/-118x24368/50/2" TargetMode="External"/><Relationship Id="rId653" Type="http://schemas.openxmlformats.org/officeDocument/2006/relationships/hyperlink" Target="https://jobs.boeing.com/job/tukwila/senior-service-reliability-specialist/185/88065182720" TargetMode="External"/><Relationship Id="rId410" Type="http://schemas.openxmlformats.org/officeDocument/2006/relationships/hyperlink" Target="https://jobs.ashbyhq.com/graymatter-robotics" TargetMode="External"/><Relationship Id="rId531" Type="http://schemas.openxmlformats.org/officeDocument/2006/relationships/hyperlink" Target="https://jobs.boeing.com/job/los-angeles/software-engineer-developer-experienced-or-senior-level/185/84808570608" TargetMode="External"/><Relationship Id="rId652" Type="http://schemas.openxmlformats.org/officeDocument/2006/relationships/hyperlink" Target="https://jobs.boeing.com/search-jobs/Los%20Angeles%2C%20CA/185/4/6252001-5332921-5368381-5368361/34x05223/-118x24368/50/2" TargetMode="External"/><Relationship Id="rId530" Type="http://schemas.openxmlformats.org/officeDocument/2006/relationships/hyperlink" Target="https://jobs.boeing.com/search-jobs/Los%20Angeles%2C%20CA/185/4/6252001-5332921-5368381-5368361/34x05223/-118x24368/50/2" TargetMode="External"/><Relationship Id="rId651" Type="http://schemas.openxmlformats.org/officeDocument/2006/relationships/hyperlink" Target="https://jobs.boeing.com/job/long-beach/software-engineer-embedded-embedded/185/88401179792" TargetMode="External"/><Relationship Id="rId650" Type="http://schemas.openxmlformats.org/officeDocument/2006/relationships/hyperlink" Target="https://jobs.boeing.com/search-jobs/Los%20Angeles%2C%20CA/185/4/6252001-5332921-5368381-5368361/34x05223/-118x24368/50/2" TargetMode="External"/><Relationship Id="rId206" Type="http://schemas.openxmlformats.org/officeDocument/2006/relationships/hyperlink" Target="https://careers.dexcom.com/careers/index" TargetMode="External"/><Relationship Id="rId327" Type="http://schemas.openxmlformats.org/officeDocument/2006/relationships/hyperlink" Target="https://portal.fritolayemployment.com/fritocareers/JobDetail?jobId=504286&amp;recommendation=&amp;jobName=Sanitor+-+Part-Time+-+1st+Shift&amp;source=&amp;tags=" TargetMode="External"/><Relationship Id="rId448" Type="http://schemas.openxmlformats.org/officeDocument/2006/relationships/hyperlink" Target="https://recruiting2.ultipro.com/STA1045STAFP/JobBoard/647cb3f9-edae-414e-a5fe-c4a67c86dd6a/?q=&amp;o=postedDateDesc" TargetMode="External"/><Relationship Id="rId569" Type="http://schemas.openxmlformats.org/officeDocument/2006/relationships/hyperlink" Target="https://jobs.boeing.com/job/chicago/business-analyst-human-capital-management-experienced-or-senior/185/88873271008" TargetMode="External"/><Relationship Id="rId205" Type="http://schemas.openxmlformats.org/officeDocument/2006/relationships/hyperlink" Target="https://careers.dexcom.com/careers?domain=dexcom.com&amp;start=20&amp;location=San+Diego%2C+CA%2C+United+States&amp;pid=38260384&amp;sort_by=distance&amp;filter_distance=80&amp;filter_include_remote=1" TargetMode="External"/><Relationship Id="rId326" Type="http://schemas.openxmlformats.org/officeDocument/2006/relationships/hyperlink" Target="https://www.pgcareers.com/us/en" TargetMode="External"/><Relationship Id="rId447" Type="http://schemas.openxmlformats.org/officeDocument/2006/relationships/hyperlink" Target="https://recruiting2.ultipro.com/STA1045STAFP/JobBoard/647cb3f9-edae-414e-a5fe-c4a67c86dd6a/OpportunityDetail?opportunityId=39b5264d-ccbf-40dc-a9cf-594781ca045d" TargetMode="External"/><Relationship Id="rId568" Type="http://schemas.openxmlformats.org/officeDocument/2006/relationships/hyperlink" Target="https://jobs.boeing.com/search-jobs/Los%20Angeles%2C%20CA/185/4/6252001-5332921-5368381-5368361/34x05223/-118x24368/50/2" TargetMode="External"/><Relationship Id="rId689" Type="http://schemas.openxmlformats.org/officeDocument/2006/relationships/hyperlink" Target="https://jobs.boeing.com/job/seal-beach/product-review-engineer/185/88118333248" TargetMode="External"/><Relationship Id="rId204" Type="http://schemas.openxmlformats.org/officeDocument/2006/relationships/hyperlink" Target="https://careers.dexcom.com/careers/index" TargetMode="External"/><Relationship Id="rId325" Type="http://schemas.openxmlformats.org/officeDocument/2006/relationships/hyperlink" Target="https://www.pgcareers.com/us/en" TargetMode="External"/><Relationship Id="rId446" Type="http://schemas.openxmlformats.org/officeDocument/2006/relationships/hyperlink" Target="https://recruiting2.ultipro.com/STA1045STAFP/JobBoard/647cb3f9-edae-414e-a5fe-c4a67c86dd6a/?q=&amp;o=postedDateDesc" TargetMode="External"/><Relationship Id="rId567" Type="http://schemas.openxmlformats.org/officeDocument/2006/relationships/hyperlink" Target="https://jobs.boeing.com/job/chicago/business-analyst-human-capital-management-experienced-or-senior/185/88873271008" TargetMode="External"/><Relationship Id="rId688" Type="http://schemas.openxmlformats.org/officeDocument/2006/relationships/hyperlink" Target="https://jobs.boeing.com/search-jobs/Los%20Angeles%2C%20CA/185/4/6252001-5332921-5368381-5368361/34x05223/-118x24368/50/2" TargetMode="External"/><Relationship Id="rId203" Type="http://schemas.openxmlformats.org/officeDocument/2006/relationships/hyperlink" Target="https://careers.dexcom.com/careers?domain=dexcom.com&amp;start=20&amp;location=San+Diego%2C+CA%2C+United+States&amp;pid=38217564&amp;sort_by=distance&amp;filter_distance=80&amp;filter_include_remote=1" TargetMode="External"/><Relationship Id="rId324" Type="http://schemas.openxmlformats.org/officeDocument/2006/relationships/hyperlink" Target="https://www.pgcareers.com/us/en" TargetMode="External"/><Relationship Id="rId445" Type="http://schemas.openxmlformats.org/officeDocument/2006/relationships/hyperlink" Target="https://recruiting2.ultipro.com/STA1045STAFP/JobBoard/647cb3f9-edae-414e-a5fe-c4a67c86dd6a/OpportunityDetail?opportunityId=823979e6-a53b-4147-bb34-5e4eafb07790" TargetMode="External"/><Relationship Id="rId566" Type="http://schemas.openxmlformats.org/officeDocument/2006/relationships/hyperlink" Target="https://jobs.boeing.com/search-jobs/Los%20Angeles%2C%20CA/185/4/6252001-5332921-5368381-5368361/34x05223/-118x24368/50/2" TargetMode="External"/><Relationship Id="rId687" Type="http://schemas.openxmlformats.org/officeDocument/2006/relationships/hyperlink" Target="https://jobs.boeing.com/job/seattle/experienced-contracts-paralegal/185/88429716320" TargetMode="External"/><Relationship Id="rId209" Type="http://schemas.openxmlformats.org/officeDocument/2006/relationships/hyperlink" Target="https://careers.dexcom.com/careers?domain=dexcom.com&amp;start=20&amp;location=San+Diego%2C+CA%2C+United+States&amp;pid=38308172&amp;sort_by=distance&amp;filter_distance=80&amp;filter_include_remote=1" TargetMode="External"/><Relationship Id="rId208" Type="http://schemas.openxmlformats.org/officeDocument/2006/relationships/hyperlink" Target="https://careers.dexcom.com/careers/index" TargetMode="External"/><Relationship Id="rId329" Type="http://schemas.openxmlformats.org/officeDocument/2006/relationships/hyperlink" Target="https://portal.fritolayemployment.com/fritocareers/JobDetail?jobId=503836&amp;recommendation=&amp;jobName=Sales+Utility+Representative&amp;source=&amp;tags=" TargetMode="External"/><Relationship Id="rId207" Type="http://schemas.openxmlformats.org/officeDocument/2006/relationships/hyperlink" Target="https://careers.dexcom.com/careers?domain=dexcom.com&amp;start=20&amp;location=San+Diego%2C+CA%2C+United+States&amp;pid=38260822&amp;sort_by=distance&amp;filter_distance=80&amp;filter_include_remote=1" TargetMode="External"/><Relationship Id="rId328" Type="http://schemas.openxmlformats.org/officeDocument/2006/relationships/hyperlink" Target="https://portal.fritolayemployment.com/fritocareers" TargetMode="External"/><Relationship Id="rId449" Type="http://schemas.openxmlformats.org/officeDocument/2006/relationships/hyperlink" Target="https://myjobs.adp.com/kaisercareers/cx/job-listing?FIELD1=California" TargetMode="External"/><Relationship Id="rId440" Type="http://schemas.openxmlformats.org/officeDocument/2006/relationships/hyperlink" Target="https://recruiting2.ultipro.com/STA1045STAFP/JobBoard/647cb3f9-edae-414e-a5fe-c4a67c86dd6a/?q=&amp;o=postedDateDesc" TargetMode="External"/><Relationship Id="rId561" Type="http://schemas.openxmlformats.org/officeDocument/2006/relationships/hyperlink" Target="https://jobs.boeing.com/job/los-angeles/computer-architect-embedded-computing-systems-design-engineer-lead-or-senior/185/80908490880" TargetMode="External"/><Relationship Id="rId682" Type="http://schemas.openxmlformats.org/officeDocument/2006/relationships/hyperlink" Target="https://jobs.boeing.com/search-jobs/Los%20Angeles%2C%20CA/185/4/6252001-5332921-5368381-5368361/34x05223/-118x24368/50/2" TargetMode="External"/><Relationship Id="rId560" Type="http://schemas.openxmlformats.org/officeDocument/2006/relationships/hyperlink" Target="https://jobs.boeing.com/search-jobs/Los%20Angeles%2C%20CA/185/4/6252001-5332921-5368381-5368361/34x05223/-118x24368/50/2" TargetMode="External"/><Relationship Id="rId681" Type="http://schemas.openxmlformats.org/officeDocument/2006/relationships/hyperlink" Target="https://jobs.boeing.com/job/herndon/agile-software-engineer-experienced-senior/185/88579078560" TargetMode="External"/><Relationship Id="rId680" Type="http://schemas.openxmlformats.org/officeDocument/2006/relationships/hyperlink" Target="https://jobs.boeing.com/search-jobs/Los%20Angeles%2C%20CA/185/4/6252001-5332921-5368381-5368361/34x05223/-118x24368/50/2" TargetMode="External"/><Relationship Id="rId202" Type="http://schemas.openxmlformats.org/officeDocument/2006/relationships/hyperlink" Target="https://careers.dexcom.com/careers/index" TargetMode="External"/><Relationship Id="rId323" Type="http://schemas.openxmlformats.org/officeDocument/2006/relationships/hyperlink" Target="https://www.pgcareers.com/us/en" TargetMode="External"/><Relationship Id="rId444" Type="http://schemas.openxmlformats.org/officeDocument/2006/relationships/hyperlink" Target="https://recruiting2.ultipro.com/STA1045STAFP/JobBoard/647cb3f9-edae-414e-a5fe-c4a67c86dd6a/?q=&amp;o=postedDateDesc" TargetMode="External"/><Relationship Id="rId565" Type="http://schemas.openxmlformats.org/officeDocument/2006/relationships/hyperlink" Target="https://jobs.boeing.com/job/los-angeles/solar-panel-array-process-manufacturing-engineer-experienced-or-senior/185/88019641792" TargetMode="External"/><Relationship Id="rId686" Type="http://schemas.openxmlformats.org/officeDocument/2006/relationships/hyperlink" Target="https://jobs.boeing.com/search-jobs/Los%20Angeles%2C%20CA/185/4/6252001-5332921-5368381-5368361/34x05223/-118x24368/50/2" TargetMode="External"/><Relationship Id="rId201" Type="http://schemas.openxmlformats.org/officeDocument/2006/relationships/hyperlink" Target="https://careers.dexcom.com/careers?domain=dexcom.com&amp;start=20&amp;location=San+Diego%2C+CA%2C+United+States&amp;pid=38111765&amp;sort_by=distance&amp;filter_distance=80&amp;filter_include_remote=1" TargetMode="External"/><Relationship Id="rId322" Type="http://schemas.openxmlformats.org/officeDocument/2006/relationships/hyperlink" Target="https://www.pgcareers.com/us/en" TargetMode="External"/><Relationship Id="rId443" Type="http://schemas.openxmlformats.org/officeDocument/2006/relationships/hyperlink" Target="https://recruiting2.ultipro.com/STA1045STAFP/JobBoard/647cb3f9-edae-414e-a5fe-c4a67c86dd6a/OpportunityDetail?opportunityId=3a762350-0c20-459d-bf34-717490dd5c75" TargetMode="External"/><Relationship Id="rId564" Type="http://schemas.openxmlformats.org/officeDocument/2006/relationships/hyperlink" Target="https://jobs.boeing.com/search-jobs/Los%20Angeles%2C%20CA/185/4/6252001-5332921-5368381-5368361/34x05223/-118x24368/50/2" TargetMode="External"/><Relationship Id="rId685" Type="http://schemas.openxmlformats.org/officeDocument/2006/relationships/hyperlink" Target="https://jobs.boeing.com/job/titusville/mid-level-integrated-planning-and-scheduling-analyst/185/88579078240" TargetMode="External"/><Relationship Id="rId200" Type="http://schemas.openxmlformats.org/officeDocument/2006/relationships/hyperlink" Target="https://careers.dexcom.com/careers/index" TargetMode="External"/><Relationship Id="rId321" Type="http://schemas.openxmlformats.org/officeDocument/2006/relationships/hyperlink" Target="https://www.pgcareers.com/us/en" TargetMode="External"/><Relationship Id="rId442" Type="http://schemas.openxmlformats.org/officeDocument/2006/relationships/hyperlink" Target="https://recruiting2.ultipro.com/STA1045STAFP/JobBoard/647cb3f9-edae-414e-a5fe-c4a67c86dd6a/?q=&amp;o=postedDateDesc" TargetMode="External"/><Relationship Id="rId563" Type="http://schemas.openxmlformats.org/officeDocument/2006/relationships/hyperlink" Target="https://jobs.boeing.com/job/los-angeles/solar-panel-array-process-manufacturing-engineer-experienced-or-senior/185/88019641792" TargetMode="External"/><Relationship Id="rId684" Type="http://schemas.openxmlformats.org/officeDocument/2006/relationships/hyperlink" Target="https://jobs.boeing.com/search-jobs/Los%20Angeles%2C%20CA/185/4/6252001-5332921-5368381-5368361/34x05223/-118x24368/50/2" TargetMode="External"/><Relationship Id="rId320" Type="http://schemas.openxmlformats.org/officeDocument/2006/relationships/hyperlink" Target="https://www.pgcareers.com/us/en" TargetMode="External"/><Relationship Id="rId441" Type="http://schemas.openxmlformats.org/officeDocument/2006/relationships/hyperlink" Target="https://recruiting2.ultipro.com/STA1045STAFP/JobBoard/647cb3f9-edae-414e-a5fe-c4a67c86dd6a/OpportunityDetail?opportunityId=c4269281-a065-4adf-9f2d-fbec5f5b502d" TargetMode="External"/><Relationship Id="rId562" Type="http://schemas.openxmlformats.org/officeDocument/2006/relationships/hyperlink" Target="https://jobs.boeing.com/search-jobs/Los%20Angeles%2C%20CA/185/4/6252001-5332921-5368381-5368361/34x05223/-118x24368/50/2" TargetMode="External"/><Relationship Id="rId683" Type="http://schemas.openxmlformats.org/officeDocument/2006/relationships/hyperlink" Target="https://jobs.boeing.com/job/herndon/agile-software-engineer-experienced-senior/185/88579078560" TargetMode="External"/><Relationship Id="rId316" Type="http://schemas.openxmlformats.org/officeDocument/2006/relationships/hyperlink" Target="https://www.pgcareers.com/us/en" TargetMode="External"/><Relationship Id="rId437" Type="http://schemas.openxmlformats.org/officeDocument/2006/relationships/hyperlink" Target="https://jobs.ashbyhq.com/graymatter-robotics/2f63fe0b-e2e5-467e-b9ff-2c9153b3910c" TargetMode="External"/><Relationship Id="rId558" Type="http://schemas.openxmlformats.org/officeDocument/2006/relationships/hyperlink" Target="https://jobs.boeing.com/search-jobs/Los%20Angeles%2C%20CA/185/4/6252001-5332921-5368381-5368361/34x05223/-118x24368/50/2" TargetMode="External"/><Relationship Id="rId679" Type="http://schemas.openxmlformats.org/officeDocument/2006/relationships/hyperlink" Target="https://jobs.boeing.com/job/herndon/agile-software-engineer-experienced/185/88579078704" TargetMode="External"/><Relationship Id="rId315" Type="http://schemas.openxmlformats.org/officeDocument/2006/relationships/hyperlink" Target="https://www.pgcareers.com/us/en" TargetMode="External"/><Relationship Id="rId436" Type="http://schemas.openxmlformats.org/officeDocument/2006/relationships/hyperlink" Target="https://jobs.ashbyhq.com/graymatter-robotics" TargetMode="External"/><Relationship Id="rId557" Type="http://schemas.openxmlformats.org/officeDocument/2006/relationships/hyperlink" Target="https://jobs.boeing.com/job/los-angeles/senior-test-program-manager/185/82146090160" TargetMode="External"/><Relationship Id="rId678" Type="http://schemas.openxmlformats.org/officeDocument/2006/relationships/hyperlink" Target="https://jobs.boeing.com/search-jobs/Los%20Angeles%2C%20CA/185/4/6252001-5332921-5368381-5368361/34x05223/-118x24368/50/2" TargetMode="External"/><Relationship Id="rId314" Type="http://schemas.openxmlformats.org/officeDocument/2006/relationships/hyperlink" Target="https://www.pgcareers.com/us/en" TargetMode="External"/><Relationship Id="rId435" Type="http://schemas.openxmlformats.org/officeDocument/2006/relationships/hyperlink" Target="https://jobs.ashbyhq.com/graymatter-robotics/dea0f08d-ebf5-4e55-b9cb-e6302014f429" TargetMode="External"/><Relationship Id="rId556" Type="http://schemas.openxmlformats.org/officeDocument/2006/relationships/hyperlink" Target="https://jobs.boeing.com/search-jobs/Los%20Angeles%2C%20CA/185/4/6252001-5332921-5368381-5368361/34x05223/-118x24368/50/2" TargetMode="External"/><Relationship Id="rId677" Type="http://schemas.openxmlformats.org/officeDocument/2006/relationships/hyperlink" Target="https://jobs.boeing.com/job/mesa/senior-versatile-technologist/185/88616597056" TargetMode="External"/><Relationship Id="rId313" Type="http://schemas.openxmlformats.org/officeDocument/2006/relationships/hyperlink" Target="https://www.pgcareers.com/us/en" TargetMode="External"/><Relationship Id="rId434" Type="http://schemas.openxmlformats.org/officeDocument/2006/relationships/hyperlink" Target="https://jobs.ashbyhq.com/graymatter-robotics" TargetMode="External"/><Relationship Id="rId555" Type="http://schemas.openxmlformats.org/officeDocument/2006/relationships/hyperlink" Target="https://jobs.boeing.com/job/los-angeles/experienced-hardware-subsystems-engineer/185/82200873952" TargetMode="External"/><Relationship Id="rId676" Type="http://schemas.openxmlformats.org/officeDocument/2006/relationships/hyperlink" Target="https://jobs.boeing.com/search-jobs/Los%20Angeles%2C%20CA/185/4/6252001-5332921-5368381-5368361/34x05223/-118x24368/50/2" TargetMode="External"/><Relationship Id="rId319" Type="http://schemas.openxmlformats.org/officeDocument/2006/relationships/hyperlink" Target="https://www.pgcareers.com/us/en" TargetMode="External"/><Relationship Id="rId318" Type="http://schemas.openxmlformats.org/officeDocument/2006/relationships/hyperlink" Target="https://www.pgcareers.com/us/en" TargetMode="External"/><Relationship Id="rId439" Type="http://schemas.openxmlformats.org/officeDocument/2006/relationships/hyperlink" Target="https://recruiting2.ultipro.com/STA1045STAFP/JobBoard/647cb3f9-edae-414e-a5fe-c4a67c86dd6a/OpportunityDetail?opportunityId=3b63df6e-1159-411c-b51b-1ac2ca214b72" TargetMode="External"/><Relationship Id="rId317" Type="http://schemas.openxmlformats.org/officeDocument/2006/relationships/hyperlink" Target="https://www.pgcareers.com/us/en" TargetMode="External"/><Relationship Id="rId438" Type="http://schemas.openxmlformats.org/officeDocument/2006/relationships/hyperlink" Target="https://jobs.ashbyhq.com/graymatter-robotics" TargetMode="External"/><Relationship Id="rId559" Type="http://schemas.openxmlformats.org/officeDocument/2006/relationships/hyperlink" Target="https://jobs.boeing.com/job/los-angeles/computer-architect-embedded-computing-systems-design-engineer-lead-or-senior/185/80908490880" TargetMode="External"/><Relationship Id="rId550" Type="http://schemas.openxmlformats.org/officeDocument/2006/relationships/hyperlink" Target="https://jobs.boeing.com/search-jobs/Los%20Angeles%2C%20CA/185/4/6252001-5332921-5368381-5368361/34x05223/-118x24368/50/2" TargetMode="External"/><Relationship Id="rId671" Type="http://schemas.openxmlformats.org/officeDocument/2006/relationships/hyperlink" Target="https://jobs.boeing.com/job/seattle/senior-legal-analyst/185/88690713552" TargetMode="External"/><Relationship Id="rId670" Type="http://schemas.openxmlformats.org/officeDocument/2006/relationships/hyperlink" Target="https://jobs.boeing.com/search-jobs/Los%20Angeles%2C%20CA/185/4/6252001-5332921-5368381-5368361/34x05223/-118x24368/50/2" TargetMode="External"/><Relationship Id="rId312" Type="http://schemas.openxmlformats.org/officeDocument/2006/relationships/hyperlink" Target="https://www.pgcareers.com/us/en" TargetMode="External"/><Relationship Id="rId433" Type="http://schemas.openxmlformats.org/officeDocument/2006/relationships/hyperlink" Target="https://jobs.ashbyhq.com/graymatter-robotics/0f138dde-13df-492b-bff6-618401ada94d" TargetMode="External"/><Relationship Id="rId554" Type="http://schemas.openxmlformats.org/officeDocument/2006/relationships/hyperlink" Target="https://jobs.boeing.com/search-jobs/Los%20Angeles%2C%20CA/185/4/6252001-5332921-5368381-5368361/34x05223/-118x24368/50/2" TargetMode="External"/><Relationship Id="rId675" Type="http://schemas.openxmlformats.org/officeDocument/2006/relationships/hyperlink" Target="https://jobs.boeing.com/job/seal-beach/reliability-data-analytics-engineer-associate-or-mid-level/185/88662885424" TargetMode="External"/><Relationship Id="rId311" Type="http://schemas.openxmlformats.org/officeDocument/2006/relationships/hyperlink" Target="https://www.pgcareers.com/us/en" TargetMode="External"/><Relationship Id="rId432" Type="http://schemas.openxmlformats.org/officeDocument/2006/relationships/hyperlink" Target="https://jobs.ashbyhq.com/graymatter-robotics" TargetMode="External"/><Relationship Id="rId553" Type="http://schemas.openxmlformats.org/officeDocument/2006/relationships/hyperlink" Target="https://jobs.boeing.com/job/los-angeles/thermal-lab-electrical-engineer-mid-level-or-senior/185/82397684656" TargetMode="External"/><Relationship Id="rId674" Type="http://schemas.openxmlformats.org/officeDocument/2006/relationships/hyperlink" Target="https://jobs.boeing.com/search-jobs/Los%20Angeles%2C%20CA/185/4/6252001-5332921-5368381-5368361/34x05223/-118x24368/50/2" TargetMode="External"/><Relationship Id="rId310" Type="http://schemas.openxmlformats.org/officeDocument/2006/relationships/hyperlink" Target="https://www.pgcareers.com/us/en" TargetMode="External"/><Relationship Id="rId431" Type="http://schemas.openxmlformats.org/officeDocument/2006/relationships/hyperlink" Target="https://jobs.ashbyhq.com/graymatter-robotics/d640abb0-1e36-4fc7-9d30-d6dbd19e9c13" TargetMode="External"/><Relationship Id="rId552" Type="http://schemas.openxmlformats.org/officeDocument/2006/relationships/hyperlink" Target="https://jobs.boeing.com/search-jobs/Los%20Angeles%2C%20CA/185/4/6252001-5332921-5368381-5368361/34x05223/-118x24368/50/2" TargetMode="External"/><Relationship Id="rId673" Type="http://schemas.openxmlformats.org/officeDocument/2006/relationships/hyperlink" Target="https://jobs.boeing.com/job/seal-beach/reliability-data-analytics-engineer-associate-or-mid-level/185/88662885424" TargetMode="External"/><Relationship Id="rId430" Type="http://schemas.openxmlformats.org/officeDocument/2006/relationships/hyperlink" Target="https://jobs.ashbyhq.com/graymatter-robotics" TargetMode="External"/><Relationship Id="rId551" Type="http://schemas.openxmlformats.org/officeDocument/2006/relationships/hyperlink" Target="https://jobs.boeing.com/job/los-angeles/thermal-lab-electrical-engineer-mid-level-or-senior/185/82397684656" TargetMode="External"/><Relationship Id="rId672" Type="http://schemas.openxmlformats.org/officeDocument/2006/relationships/hyperlink" Target="https://jobs.boeing.com/search-jobs/Los%20Angeles%2C%20CA/185/4/6252001-5332921-5368381-5368361/34x05223/-118x24368/50/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destrifoods.com/careers" TargetMode="External"/><Relationship Id="rId2" Type="http://schemas.openxmlformats.org/officeDocument/2006/relationships/hyperlink" Target="https://busseto.com/careers/career-opportunities" TargetMode="External"/><Relationship Id="rId3" Type="http://schemas.openxmlformats.org/officeDocument/2006/relationships/hyperlink" Target="https://jobs.boeing.com/search-jobs/Los%20Angeles%2C%20CA/185/4/6252001-5332921-5368381-5368361/34x05223/-118x24368/50/2" TargetMode="External"/><Relationship Id="rId4" Type="http://schemas.openxmlformats.org/officeDocument/2006/relationships/hyperlink" Target="https://www.paycomonline.net/v4/ats/web.php/jobs?jobSearchSettingsId=91177&amp;clientkey=74304172D4465A0788B5949E2EBFCA93" TargetMode="External"/><Relationship Id="rId9" Type="http://schemas.openxmlformats.org/officeDocument/2006/relationships/hyperlink" Target="https://www.plumorganics.com/?s=careers" TargetMode="External"/><Relationship Id="rId5" Type="http://schemas.openxmlformats.org/officeDocument/2006/relationships/hyperlink" Target="https://recruiting2.ultipro.com/SOU1047SMBSC/JobBoard/660f759a-4cc9-435c-bbe9-4bf35aecfda4/?q=&amp;o=postedDateDesc" TargetMode="External"/><Relationship Id="rId6" Type="http://schemas.openxmlformats.org/officeDocument/2006/relationships/hyperlink" Target="https://statevolt.com/careers/" TargetMode="External"/><Relationship Id="rId7" Type="http://schemas.openxmlformats.org/officeDocument/2006/relationships/hyperlink" Target="https://www.linkedin.com/company/rayotek-scientific-llc/jobs/" TargetMode="External"/><Relationship Id="rId8" Type="http://schemas.openxmlformats.org/officeDocument/2006/relationships/hyperlink" Target="https://tolarmfg.com/who-we-are/work-for-us/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jobs.ashbyhq.com/graymatter-robotic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96.13"/>
    <col customWidth="1" min="3" max="5" width="21.88"/>
    <col customWidth="1" min="7" max="7" width="17.88"/>
    <col customWidth="1" min="8" max="8" width="36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4" t="s">
        <v>8</v>
      </c>
      <c r="B2" s="4" t="s">
        <v>9</v>
      </c>
      <c r="C2" s="1" t="s">
        <v>10</v>
      </c>
      <c r="D2" s="1" t="s">
        <v>10</v>
      </c>
      <c r="E2" s="1" t="s">
        <v>10</v>
      </c>
      <c r="F2" s="4" t="s">
        <v>11</v>
      </c>
      <c r="G2" s="4" t="s">
        <v>12</v>
      </c>
      <c r="H2" s="5" t="s">
        <v>13</v>
      </c>
    </row>
    <row r="3" ht="22.5" customHeight="1">
      <c r="A3" s="4" t="s">
        <v>8</v>
      </c>
      <c r="B3" s="4" t="s">
        <v>14</v>
      </c>
      <c r="C3" s="1" t="s">
        <v>10</v>
      </c>
      <c r="D3" s="1" t="s">
        <v>10</v>
      </c>
      <c r="E3" s="1" t="s">
        <v>10</v>
      </c>
      <c r="F3" s="4" t="s">
        <v>11</v>
      </c>
      <c r="G3" s="4" t="s">
        <v>12</v>
      </c>
      <c r="H3" s="5" t="s">
        <v>13</v>
      </c>
    </row>
    <row r="4" ht="22.5" customHeight="1">
      <c r="A4" s="4" t="s">
        <v>8</v>
      </c>
      <c r="B4" s="4" t="s">
        <v>15</v>
      </c>
      <c r="C4" s="1" t="s">
        <v>10</v>
      </c>
      <c r="D4" s="1" t="s">
        <v>10</v>
      </c>
      <c r="E4" s="1" t="s">
        <v>10</v>
      </c>
      <c r="F4" s="4" t="s">
        <v>11</v>
      </c>
      <c r="G4" s="4" t="s">
        <v>12</v>
      </c>
      <c r="H4" s="5" t="s">
        <v>13</v>
      </c>
    </row>
    <row r="5" ht="22.5" customHeight="1">
      <c r="A5" s="4" t="s">
        <v>8</v>
      </c>
      <c r="B5" s="4" t="s">
        <v>16</v>
      </c>
      <c r="C5" s="1" t="s">
        <v>10</v>
      </c>
      <c r="D5" s="1" t="s">
        <v>10</v>
      </c>
      <c r="E5" s="1" t="s">
        <v>10</v>
      </c>
      <c r="F5" s="4" t="s">
        <v>11</v>
      </c>
      <c r="G5" s="4" t="s">
        <v>12</v>
      </c>
      <c r="H5" s="5" t="s">
        <v>13</v>
      </c>
    </row>
    <row r="6" ht="22.5" customHeight="1">
      <c r="A6" s="4" t="s">
        <v>8</v>
      </c>
      <c r="B6" s="4" t="s">
        <v>17</v>
      </c>
      <c r="C6" s="1" t="s">
        <v>10</v>
      </c>
      <c r="D6" s="1" t="s">
        <v>10</v>
      </c>
      <c r="E6" s="1" t="s">
        <v>10</v>
      </c>
      <c r="F6" s="4" t="s">
        <v>11</v>
      </c>
      <c r="G6" s="4" t="s">
        <v>12</v>
      </c>
      <c r="H6" s="5" t="s">
        <v>13</v>
      </c>
    </row>
    <row r="7" ht="22.5" customHeight="1">
      <c r="A7" s="4" t="s">
        <v>8</v>
      </c>
      <c r="B7" s="4" t="s">
        <v>18</v>
      </c>
      <c r="C7" s="1" t="s">
        <v>10</v>
      </c>
      <c r="D7" s="1" t="s">
        <v>10</v>
      </c>
      <c r="E7" s="1" t="s">
        <v>10</v>
      </c>
      <c r="F7" s="4" t="s">
        <v>11</v>
      </c>
      <c r="G7" s="4" t="s">
        <v>12</v>
      </c>
      <c r="H7" s="5" t="s">
        <v>13</v>
      </c>
    </row>
    <row r="8" ht="22.5" customHeight="1">
      <c r="A8" s="4" t="s">
        <v>8</v>
      </c>
      <c r="B8" s="4" t="s">
        <v>19</v>
      </c>
      <c r="C8" s="1" t="s">
        <v>10</v>
      </c>
      <c r="D8" s="1" t="s">
        <v>10</v>
      </c>
      <c r="E8" s="1" t="s">
        <v>10</v>
      </c>
      <c r="F8" s="4" t="s">
        <v>11</v>
      </c>
      <c r="G8" s="4" t="s">
        <v>12</v>
      </c>
      <c r="H8" s="5" t="s">
        <v>13</v>
      </c>
    </row>
    <row r="9" ht="22.5" customHeight="1">
      <c r="A9" s="4" t="s">
        <v>8</v>
      </c>
      <c r="B9" s="4" t="s">
        <v>20</v>
      </c>
      <c r="C9" s="1" t="s">
        <v>10</v>
      </c>
      <c r="D9" s="1" t="s">
        <v>10</v>
      </c>
      <c r="E9" s="1" t="s">
        <v>10</v>
      </c>
      <c r="F9" s="4" t="s">
        <v>11</v>
      </c>
      <c r="G9" s="4" t="s">
        <v>12</v>
      </c>
      <c r="H9" s="5" t="s">
        <v>13</v>
      </c>
    </row>
    <row r="10" ht="22.5" customHeight="1">
      <c r="A10" s="4" t="s">
        <v>8</v>
      </c>
      <c r="B10" s="4" t="s">
        <v>21</v>
      </c>
      <c r="C10" s="1" t="s">
        <v>10</v>
      </c>
      <c r="D10" s="1" t="s">
        <v>10</v>
      </c>
      <c r="E10" s="1" t="s">
        <v>10</v>
      </c>
      <c r="F10" s="4" t="s">
        <v>11</v>
      </c>
      <c r="G10" s="4" t="s">
        <v>12</v>
      </c>
      <c r="H10" s="5" t="s">
        <v>13</v>
      </c>
    </row>
    <row r="11" ht="22.5" customHeight="1">
      <c r="A11" s="4" t="s">
        <v>8</v>
      </c>
      <c r="B11" s="4" t="s">
        <v>22</v>
      </c>
      <c r="C11" s="1" t="s">
        <v>10</v>
      </c>
      <c r="D11" s="1" t="s">
        <v>10</v>
      </c>
      <c r="E11" s="1" t="s">
        <v>10</v>
      </c>
      <c r="F11" s="4" t="s">
        <v>11</v>
      </c>
      <c r="G11" s="4" t="s">
        <v>12</v>
      </c>
      <c r="H11" s="5" t="s">
        <v>13</v>
      </c>
    </row>
    <row r="12" ht="22.5" customHeight="1">
      <c r="A12" s="4" t="s">
        <v>8</v>
      </c>
      <c r="B12" s="4" t="s">
        <v>23</v>
      </c>
      <c r="C12" s="1" t="s">
        <v>10</v>
      </c>
      <c r="D12" s="1" t="s">
        <v>10</v>
      </c>
      <c r="E12" s="1" t="s">
        <v>10</v>
      </c>
      <c r="F12" s="4" t="s">
        <v>11</v>
      </c>
      <c r="G12" s="4" t="s">
        <v>12</v>
      </c>
      <c r="H12" s="5" t="s">
        <v>13</v>
      </c>
    </row>
    <row r="13" ht="22.5" customHeight="1">
      <c r="A13" s="4" t="s">
        <v>8</v>
      </c>
      <c r="B13" s="4" t="s">
        <v>24</v>
      </c>
      <c r="C13" s="1" t="s">
        <v>10</v>
      </c>
      <c r="D13" s="1" t="s">
        <v>10</v>
      </c>
      <c r="E13" s="1" t="s">
        <v>10</v>
      </c>
      <c r="F13" s="4" t="s">
        <v>11</v>
      </c>
      <c r="G13" s="4" t="s">
        <v>12</v>
      </c>
      <c r="H13" s="5" t="s">
        <v>13</v>
      </c>
    </row>
    <row r="14" ht="22.5" customHeight="1">
      <c r="A14" s="4" t="s">
        <v>8</v>
      </c>
      <c r="B14" s="4" t="s">
        <v>25</v>
      </c>
      <c r="C14" s="1" t="s">
        <v>10</v>
      </c>
      <c r="D14" s="1" t="s">
        <v>10</v>
      </c>
      <c r="E14" s="1" t="s">
        <v>10</v>
      </c>
      <c r="F14" s="4" t="s">
        <v>11</v>
      </c>
      <c r="G14" s="4" t="s">
        <v>12</v>
      </c>
      <c r="H14" s="5" t="s">
        <v>13</v>
      </c>
    </row>
    <row r="15" ht="22.5" customHeight="1">
      <c r="A15" s="4" t="s">
        <v>8</v>
      </c>
      <c r="B15" s="4" t="s">
        <v>26</v>
      </c>
      <c r="C15" s="1" t="s">
        <v>10</v>
      </c>
      <c r="D15" s="1" t="s">
        <v>10</v>
      </c>
      <c r="E15" s="1" t="s">
        <v>10</v>
      </c>
      <c r="F15" s="4" t="s">
        <v>11</v>
      </c>
      <c r="G15" s="4" t="s">
        <v>12</v>
      </c>
      <c r="H15" s="5" t="s">
        <v>13</v>
      </c>
    </row>
    <row r="16" ht="22.5" customHeight="1">
      <c r="A16" s="4" t="s">
        <v>8</v>
      </c>
      <c r="B16" s="4" t="s">
        <v>27</v>
      </c>
      <c r="C16" s="1" t="s">
        <v>10</v>
      </c>
      <c r="D16" s="1" t="s">
        <v>10</v>
      </c>
      <c r="E16" s="1" t="s">
        <v>10</v>
      </c>
      <c r="F16" s="4" t="s">
        <v>11</v>
      </c>
      <c r="G16" s="4" t="s">
        <v>12</v>
      </c>
      <c r="H16" s="5" t="s">
        <v>13</v>
      </c>
    </row>
    <row r="17" ht="22.5" customHeight="1">
      <c r="A17" s="4" t="s">
        <v>8</v>
      </c>
      <c r="B17" s="4" t="s">
        <v>28</v>
      </c>
      <c r="C17" s="1" t="s">
        <v>10</v>
      </c>
      <c r="D17" s="1" t="s">
        <v>10</v>
      </c>
      <c r="E17" s="1" t="s">
        <v>10</v>
      </c>
      <c r="F17" s="4" t="s">
        <v>11</v>
      </c>
      <c r="G17" s="4" t="s">
        <v>12</v>
      </c>
      <c r="H17" s="5" t="s">
        <v>13</v>
      </c>
    </row>
    <row r="18" ht="22.5" customHeight="1">
      <c r="A18" s="4" t="s">
        <v>8</v>
      </c>
      <c r="B18" s="4" t="s">
        <v>29</v>
      </c>
      <c r="C18" s="1" t="s">
        <v>10</v>
      </c>
      <c r="D18" s="1" t="s">
        <v>10</v>
      </c>
      <c r="E18" s="1" t="s">
        <v>10</v>
      </c>
      <c r="F18" s="4" t="s">
        <v>11</v>
      </c>
      <c r="G18" s="4" t="s">
        <v>12</v>
      </c>
      <c r="H18" s="5" t="s">
        <v>13</v>
      </c>
    </row>
    <row r="19" ht="22.5" customHeight="1">
      <c r="A19" s="4" t="s">
        <v>8</v>
      </c>
      <c r="B19" s="4" t="s">
        <v>30</v>
      </c>
      <c r="C19" s="1" t="s">
        <v>10</v>
      </c>
      <c r="D19" s="1" t="s">
        <v>10</v>
      </c>
      <c r="E19" s="1" t="s">
        <v>10</v>
      </c>
      <c r="F19" s="4" t="s">
        <v>11</v>
      </c>
      <c r="G19" s="4" t="s">
        <v>12</v>
      </c>
      <c r="H19" s="5" t="s">
        <v>13</v>
      </c>
    </row>
    <row r="20" ht="22.5" customHeight="1">
      <c r="A20" s="4" t="s">
        <v>8</v>
      </c>
      <c r="B20" s="4" t="s">
        <v>31</v>
      </c>
      <c r="C20" s="1" t="s">
        <v>10</v>
      </c>
      <c r="D20" s="1" t="s">
        <v>10</v>
      </c>
      <c r="E20" s="1" t="s">
        <v>10</v>
      </c>
      <c r="F20" s="4" t="s">
        <v>11</v>
      </c>
      <c r="G20" s="4" t="s">
        <v>12</v>
      </c>
      <c r="H20" s="5" t="s">
        <v>13</v>
      </c>
    </row>
    <row r="21" ht="22.5" customHeight="1">
      <c r="A21" s="4" t="s">
        <v>8</v>
      </c>
      <c r="B21" s="4" t="s">
        <v>32</v>
      </c>
      <c r="C21" s="1" t="s">
        <v>10</v>
      </c>
      <c r="D21" s="1" t="s">
        <v>10</v>
      </c>
      <c r="E21" s="1" t="s">
        <v>10</v>
      </c>
      <c r="F21" s="4" t="s">
        <v>11</v>
      </c>
      <c r="G21" s="4" t="s">
        <v>12</v>
      </c>
      <c r="H21" s="5" t="s">
        <v>13</v>
      </c>
    </row>
    <row r="22" ht="22.5" customHeight="1">
      <c r="A22" s="4" t="s">
        <v>8</v>
      </c>
      <c r="B22" s="4" t="s">
        <v>33</v>
      </c>
      <c r="C22" s="1" t="s">
        <v>10</v>
      </c>
      <c r="D22" s="1" t="s">
        <v>10</v>
      </c>
      <c r="E22" s="1" t="s">
        <v>10</v>
      </c>
      <c r="F22" s="4" t="s">
        <v>11</v>
      </c>
      <c r="G22" s="4" t="s">
        <v>12</v>
      </c>
      <c r="H22" s="5" t="s">
        <v>13</v>
      </c>
    </row>
    <row r="23" ht="22.5" customHeight="1">
      <c r="A23" s="4" t="s">
        <v>8</v>
      </c>
      <c r="B23" s="4" t="s">
        <v>34</v>
      </c>
      <c r="C23" s="1" t="s">
        <v>10</v>
      </c>
      <c r="D23" s="1" t="s">
        <v>10</v>
      </c>
      <c r="E23" s="1" t="s">
        <v>10</v>
      </c>
      <c r="F23" s="4" t="s">
        <v>11</v>
      </c>
      <c r="G23" s="4" t="s">
        <v>12</v>
      </c>
      <c r="H23" s="5" t="s">
        <v>13</v>
      </c>
    </row>
    <row r="24" ht="22.5" customHeight="1">
      <c r="A24" s="4" t="s">
        <v>8</v>
      </c>
      <c r="B24" s="4" t="s">
        <v>35</v>
      </c>
      <c r="C24" s="1" t="s">
        <v>10</v>
      </c>
      <c r="D24" s="1" t="s">
        <v>10</v>
      </c>
      <c r="E24" s="1" t="s">
        <v>10</v>
      </c>
      <c r="F24" s="4" t="s">
        <v>11</v>
      </c>
      <c r="G24" s="4" t="s">
        <v>12</v>
      </c>
      <c r="H24" s="5" t="s">
        <v>13</v>
      </c>
    </row>
    <row r="25" ht="22.5" customHeight="1">
      <c r="A25" s="4" t="s">
        <v>8</v>
      </c>
      <c r="B25" s="4" t="s">
        <v>36</v>
      </c>
      <c r="C25" s="1" t="s">
        <v>10</v>
      </c>
      <c r="D25" s="1" t="s">
        <v>10</v>
      </c>
      <c r="E25" s="1" t="s">
        <v>10</v>
      </c>
      <c r="F25" s="4" t="s">
        <v>11</v>
      </c>
      <c r="G25" s="4" t="s">
        <v>12</v>
      </c>
      <c r="H25" s="5" t="s">
        <v>13</v>
      </c>
    </row>
    <row r="26" ht="22.5" customHeight="1">
      <c r="A26" s="4" t="s">
        <v>8</v>
      </c>
      <c r="B26" s="4" t="s">
        <v>37</v>
      </c>
      <c r="C26" s="1" t="s">
        <v>10</v>
      </c>
      <c r="D26" s="1" t="s">
        <v>10</v>
      </c>
      <c r="E26" s="1" t="s">
        <v>10</v>
      </c>
      <c r="F26" s="4" t="s">
        <v>11</v>
      </c>
      <c r="G26" s="4" t="s">
        <v>12</v>
      </c>
      <c r="H26" s="5" t="s">
        <v>13</v>
      </c>
    </row>
    <row r="27" ht="22.5" customHeight="1">
      <c r="A27" s="4" t="s">
        <v>8</v>
      </c>
      <c r="B27" s="4" t="s">
        <v>38</v>
      </c>
      <c r="C27" s="1" t="s">
        <v>10</v>
      </c>
      <c r="D27" s="1" t="s">
        <v>10</v>
      </c>
      <c r="E27" s="1" t="s">
        <v>10</v>
      </c>
      <c r="F27" s="4" t="s">
        <v>11</v>
      </c>
      <c r="G27" s="4" t="s">
        <v>12</v>
      </c>
      <c r="H27" s="5" t="s">
        <v>13</v>
      </c>
    </row>
    <row r="28" ht="22.5" customHeight="1">
      <c r="A28" s="4" t="s">
        <v>8</v>
      </c>
      <c r="B28" s="4" t="s">
        <v>14</v>
      </c>
      <c r="C28" s="1" t="s">
        <v>10</v>
      </c>
      <c r="D28" s="1" t="s">
        <v>10</v>
      </c>
      <c r="E28" s="1" t="s">
        <v>10</v>
      </c>
      <c r="F28" s="4" t="s">
        <v>11</v>
      </c>
      <c r="G28" s="4" t="s">
        <v>12</v>
      </c>
      <c r="H28" s="5" t="s">
        <v>13</v>
      </c>
    </row>
    <row r="29" ht="22.5" customHeight="1">
      <c r="A29" s="4" t="s">
        <v>8</v>
      </c>
      <c r="B29" s="4" t="s">
        <v>39</v>
      </c>
      <c r="C29" s="1" t="s">
        <v>10</v>
      </c>
      <c r="D29" s="1" t="s">
        <v>10</v>
      </c>
      <c r="E29" s="1" t="s">
        <v>10</v>
      </c>
      <c r="F29" s="4" t="s">
        <v>11</v>
      </c>
      <c r="G29" s="4" t="s">
        <v>12</v>
      </c>
      <c r="H29" s="5" t="s">
        <v>13</v>
      </c>
    </row>
    <row r="30" ht="22.5" customHeight="1">
      <c r="A30" s="4" t="s">
        <v>8</v>
      </c>
      <c r="B30" s="4" t="s">
        <v>40</v>
      </c>
      <c r="C30" s="1" t="s">
        <v>10</v>
      </c>
      <c r="D30" s="1" t="s">
        <v>10</v>
      </c>
      <c r="E30" s="1" t="s">
        <v>10</v>
      </c>
      <c r="F30" s="4" t="s">
        <v>11</v>
      </c>
      <c r="G30" s="4" t="s">
        <v>12</v>
      </c>
      <c r="H30" s="5" t="s">
        <v>13</v>
      </c>
    </row>
    <row r="31" ht="22.5" customHeight="1">
      <c r="A31" s="4" t="s">
        <v>8</v>
      </c>
      <c r="B31" s="4" t="s">
        <v>41</v>
      </c>
      <c r="C31" s="1" t="s">
        <v>10</v>
      </c>
      <c r="D31" s="1" t="s">
        <v>10</v>
      </c>
      <c r="E31" s="1" t="s">
        <v>10</v>
      </c>
      <c r="F31" s="4" t="s">
        <v>11</v>
      </c>
      <c r="G31" s="4" t="s">
        <v>12</v>
      </c>
      <c r="H31" s="5" t="s">
        <v>13</v>
      </c>
    </row>
    <row r="32" ht="22.5" customHeight="1">
      <c r="A32" s="4" t="s">
        <v>8</v>
      </c>
      <c r="B32" s="6" t="s">
        <v>42</v>
      </c>
      <c r="C32" s="1" t="s">
        <v>10</v>
      </c>
      <c r="D32" s="1" t="s">
        <v>10</v>
      </c>
      <c r="E32" s="1" t="s">
        <v>10</v>
      </c>
      <c r="F32" s="4" t="s">
        <v>11</v>
      </c>
      <c r="G32" s="4" t="s">
        <v>12</v>
      </c>
      <c r="H32" s="5" t="s">
        <v>13</v>
      </c>
    </row>
    <row r="33" ht="22.5" customHeight="1">
      <c r="A33" s="4" t="s">
        <v>8</v>
      </c>
      <c r="B33" s="4" t="s">
        <v>43</v>
      </c>
      <c r="C33" s="1" t="s">
        <v>10</v>
      </c>
      <c r="D33" s="1" t="s">
        <v>10</v>
      </c>
      <c r="E33" s="1" t="s">
        <v>10</v>
      </c>
      <c r="F33" s="4" t="s">
        <v>11</v>
      </c>
      <c r="G33" s="4" t="s">
        <v>12</v>
      </c>
      <c r="H33" s="5" t="s">
        <v>13</v>
      </c>
    </row>
    <row r="34" ht="22.5" customHeight="1">
      <c r="A34" s="4" t="s">
        <v>8</v>
      </c>
      <c r="B34" s="4" t="s">
        <v>44</v>
      </c>
      <c r="C34" s="1" t="s">
        <v>10</v>
      </c>
      <c r="D34" s="1" t="s">
        <v>10</v>
      </c>
      <c r="E34" s="1" t="s">
        <v>10</v>
      </c>
      <c r="F34" s="4" t="s">
        <v>11</v>
      </c>
      <c r="G34" s="4" t="s">
        <v>12</v>
      </c>
      <c r="H34" s="5" t="s">
        <v>13</v>
      </c>
    </row>
    <row r="35" ht="22.5" customHeight="1">
      <c r="A35" s="4" t="s">
        <v>8</v>
      </c>
      <c r="B35" s="4" t="s">
        <v>45</v>
      </c>
      <c r="C35" s="1" t="s">
        <v>10</v>
      </c>
      <c r="D35" s="1" t="s">
        <v>10</v>
      </c>
      <c r="E35" s="1" t="s">
        <v>10</v>
      </c>
      <c r="F35" s="4" t="s">
        <v>11</v>
      </c>
      <c r="G35" s="4" t="s">
        <v>12</v>
      </c>
      <c r="H35" s="5" t="s">
        <v>13</v>
      </c>
    </row>
    <row r="36" ht="22.5" customHeight="1">
      <c r="A36" s="4" t="s">
        <v>8</v>
      </c>
      <c r="B36" s="4" t="s">
        <v>26</v>
      </c>
      <c r="C36" s="1" t="s">
        <v>10</v>
      </c>
      <c r="D36" s="1" t="s">
        <v>10</v>
      </c>
      <c r="E36" s="1" t="s">
        <v>10</v>
      </c>
      <c r="F36" s="4" t="s">
        <v>11</v>
      </c>
      <c r="G36" s="4" t="s">
        <v>12</v>
      </c>
      <c r="H36" s="5" t="s">
        <v>13</v>
      </c>
    </row>
    <row r="37" ht="22.5" customHeight="1">
      <c r="A37" s="4" t="s">
        <v>8</v>
      </c>
      <c r="B37" s="4" t="s">
        <v>46</v>
      </c>
      <c r="C37" s="1" t="s">
        <v>10</v>
      </c>
      <c r="D37" s="1" t="s">
        <v>10</v>
      </c>
      <c r="E37" s="1" t="s">
        <v>10</v>
      </c>
      <c r="F37" s="4" t="s">
        <v>11</v>
      </c>
      <c r="G37" s="4" t="s">
        <v>12</v>
      </c>
      <c r="H37" s="5" t="s">
        <v>13</v>
      </c>
    </row>
    <row r="38" ht="22.5" customHeight="1">
      <c r="A38" s="4" t="s">
        <v>8</v>
      </c>
      <c r="B38" s="4" t="s">
        <v>47</v>
      </c>
      <c r="C38" s="1" t="s">
        <v>10</v>
      </c>
      <c r="D38" s="1" t="s">
        <v>10</v>
      </c>
      <c r="E38" s="1" t="s">
        <v>10</v>
      </c>
      <c r="F38" s="4" t="s">
        <v>11</v>
      </c>
      <c r="G38" s="4" t="s">
        <v>12</v>
      </c>
      <c r="H38" s="5" t="s">
        <v>13</v>
      </c>
    </row>
    <row r="39" ht="22.5" customHeight="1">
      <c r="A39" s="4" t="s">
        <v>8</v>
      </c>
      <c r="B39" s="4" t="s">
        <v>48</v>
      </c>
      <c r="C39" s="1" t="s">
        <v>10</v>
      </c>
      <c r="D39" s="1" t="s">
        <v>10</v>
      </c>
      <c r="E39" s="1" t="s">
        <v>10</v>
      </c>
      <c r="F39" s="4" t="s">
        <v>11</v>
      </c>
      <c r="G39" s="4" t="s">
        <v>12</v>
      </c>
      <c r="H39" s="5" t="s">
        <v>13</v>
      </c>
    </row>
    <row r="40" ht="22.5" customHeight="1">
      <c r="A40" s="4" t="s">
        <v>8</v>
      </c>
      <c r="B40" s="4" t="s">
        <v>49</v>
      </c>
      <c r="C40" s="1" t="s">
        <v>10</v>
      </c>
      <c r="D40" s="1" t="s">
        <v>10</v>
      </c>
      <c r="E40" s="1" t="s">
        <v>10</v>
      </c>
      <c r="F40" s="4" t="s">
        <v>11</v>
      </c>
      <c r="G40" s="4" t="s">
        <v>12</v>
      </c>
      <c r="H40" s="5" t="s">
        <v>13</v>
      </c>
    </row>
    <row r="41" ht="22.5" customHeight="1">
      <c r="A41" s="4" t="s">
        <v>8</v>
      </c>
      <c r="B41" s="4" t="s">
        <v>50</v>
      </c>
      <c r="C41" s="1" t="s">
        <v>10</v>
      </c>
      <c r="D41" s="1" t="s">
        <v>10</v>
      </c>
      <c r="E41" s="1" t="s">
        <v>10</v>
      </c>
      <c r="F41" s="4" t="s">
        <v>11</v>
      </c>
      <c r="G41" s="4" t="s">
        <v>12</v>
      </c>
      <c r="H41" s="5" t="s">
        <v>13</v>
      </c>
    </row>
    <row r="42" ht="22.5" customHeight="1">
      <c r="A42" s="4" t="s">
        <v>8</v>
      </c>
      <c r="B42" s="4" t="s">
        <v>51</v>
      </c>
      <c r="C42" s="1" t="s">
        <v>10</v>
      </c>
      <c r="D42" s="1" t="s">
        <v>10</v>
      </c>
      <c r="E42" s="1" t="s">
        <v>10</v>
      </c>
      <c r="F42" s="4" t="s">
        <v>11</v>
      </c>
      <c r="G42" s="4" t="s">
        <v>12</v>
      </c>
      <c r="H42" s="5" t="s">
        <v>13</v>
      </c>
    </row>
    <row r="43" ht="22.5" customHeight="1">
      <c r="A43" s="4" t="s">
        <v>8</v>
      </c>
      <c r="B43" s="4" t="s">
        <v>52</v>
      </c>
      <c r="C43" s="1" t="s">
        <v>10</v>
      </c>
      <c r="D43" s="1" t="s">
        <v>10</v>
      </c>
      <c r="E43" s="1" t="s">
        <v>10</v>
      </c>
      <c r="F43" s="4" t="s">
        <v>11</v>
      </c>
      <c r="G43" s="4" t="s">
        <v>12</v>
      </c>
      <c r="H43" s="5" t="s">
        <v>13</v>
      </c>
    </row>
    <row r="44" ht="22.5" customHeight="1">
      <c r="A44" s="4" t="s">
        <v>8</v>
      </c>
      <c r="B44" s="4" t="s">
        <v>53</v>
      </c>
      <c r="C44" s="1" t="s">
        <v>10</v>
      </c>
      <c r="D44" s="1" t="s">
        <v>10</v>
      </c>
      <c r="E44" s="1" t="s">
        <v>10</v>
      </c>
      <c r="F44" s="4" t="s">
        <v>11</v>
      </c>
      <c r="G44" s="4" t="s">
        <v>12</v>
      </c>
      <c r="H44" s="5" t="s">
        <v>13</v>
      </c>
    </row>
    <row r="45" ht="22.5" customHeight="1">
      <c r="A45" s="4" t="s">
        <v>8</v>
      </c>
      <c r="B45" s="4" t="s">
        <v>54</v>
      </c>
      <c r="C45" s="1" t="s">
        <v>10</v>
      </c>
      <c r="D45" s="1" t="s">
        <v>10</v>
      </c>
      <c r="E45" s="1" t="s">
        <v>10</v>
      </c>
      <c r="F45" s="4" t="s">
        <v>11</v>
      </c>
      <c r="G45" s="4" t="s">
        <v>12</v>
      </c>
      <c r="H45" s="5" t="s">
        <v>13</v>
      </c>
    </row>
    <row r="46" ht="22.5" customHeight="1">
      <c r="A46" s="4" t="s">
        <v>8</v>
      </c>
      <c r="B46" s="4" t="s">
        <v>55</v>
      </c>
      <c r="C46" s="1" t="s">
        <v>10</v>
      </c>
      <c r="D46" s="1" t="s">
        <v>10</v>
      </c>
      <c r="E46" s="1" t="s">
        <v>10</v>
      </c>
      <c r="F46" s="4" t="s">
        <v>11</v>
      </c>
      <c r="G46" s="4" t="s">
        <v>12</v>
      </c>
      <c r="H46" s="5" t="s">
        <v>13</v>
      </c>
    </row>
    <row r="47" ht="22.5" customHeight="1">
      <c r="A47" s="4" t="s">
        <v>8</v>
      </c>
      <c r="B47" s="4" t="s">
        <v>56</v>
      </c>
      <c r="C47" s="1" t="s">
        <v>10</v>
      </c>
      <c r="D47" s="1" t="s">
        <v>10</v>
      </c>
      <c r="E47" s="1" t="s">
        <v>10</v>
      </c>
      <c r="F47" s="4" t="s">
        <v>11</v>
      </c>
      <c r="G47" s="4" t="s">
        <v>12</v>
      </c>
      <c r="H47" s="5" t="s">
        <v>13</v>
      </c>
    </row>
    <row r="48" ht="22.5" customHeight="1">
      <c r="A48" s="4" t="s">
        <v>8</v>
      </c>
      <c r="B48" s="4" t="s">
        <v>57</v>
      </c>
      <c r="C48" s="1" t="s">
        <v>10</v>
      </c>
      <c r="D48" s="1" t="s">
        <v>10</v>
      </c>
      <c r="E48" s="1" t="s">
        <v>10</v>
      </c>
      <c r="F48" s="4" t="s">
        <v>11</v>
      </c>
      <c r="G48" s="4" t="s">
        <v>12</v>
      </c>
      <c r="H48" s="5" t="s">
        <v>13</v>
      </c>
    </row>
    <row r="49" ht="22.5" customHeight="1">
      <c r="A49" s="4" t="s">
        <v>8</v>
      </c>
      <c r="B49" s="4" t="s">
        <v>32</v>
      </c>
      <c r="C49" s="1" t="s">
        <v>10</v>
      </c>
      <c r="D49" s="1" t="s">
        <v>10</v>
      </c>
      <c r="E49" s="1" t="s">
        <v>10</v>
      </c>
      <c r="F49" s="4" t="s">
        <v>11</v>
      </c>
      <c r="G49" s="4" t="s">
        <v>12</v>
      </c>
      <c r="H49" s="5" t="s">
        <v>13</v>
      </c>
    </row>
    <row r="50" ht="22.5" customHeight="1">
      <c r="A50" s="4" t="s">
        <v>8</v>
      </c>
      <c r="B50" s="4" t="s">
        <v>58</v>
      </c>
      <c r="C50" s="1" t="s">
        <v>10</v>
      </c>
      <c r="D50" s="1" t="s">
        <v>10</v>
      </c>
      <c r="E50" s="1" t="s">
        <v>10</v>
      </c>
      <c r="F50" s="4" t="s">
        <v>11</v>
      </c>
      <c r="G50" s="4" t="s">
        <v>12</v>
      </c>
      <c r="H50" s="5" t="s">
        <v>13</v>
      </c>
    </row>
    <row r="51" ht="22.5" customHeight="1">
      <c r="A51" s="4" t="s">
        <v>8</v>
      </c>
      <c r="B51" s="4" t="s">
        <v>59</v>
      </c>
      <c r="C51" s="1" t="s">
        <v>10</v>
      </c>
      <c r="D51" s="1" t="s">
        <v>10</v>
      </c>
      <c r="E51" s="1" t="s">
        <v>10</v>
      </c>
      <c r="F51" s="4" t="s">
        <v>11</v>
      </c>
      <c r="G51" s="4" t="s">
        <v>12</v>
      </c>
      <c r="H51" s="5" t="s">
        <v>13</v>
      </c>
    </row>
    <row r="52" ht="22.5" customHeight="1">
      <c r="A52" s="4" t="s">
        <v>8</v>
      </c>
      <c r="B52" s="4" t="s">
        <v>60</v>
      </c>
      <c r="C52" s="1" t="s">
        <v>10</v>
      </c>
      <c r="D52" s="1" t="s">
        <v>10</v>
      </c>
      <c r="E52" s="1" t="s">
        <v>10</v>
      </c>
      <c r="F52" s="4" t="s">
        <v>11</v>
      </c>
      <c r="G52" s="4" t="s">
        <v>12</v>
      </c>
      <c r="H52" s="5" t="s">
        <v>13</v>
      </c>
    </row>
    <row r="53" ht="22.5" customHeight="1">
      <c r="A53" s="4" t="s">
        <v>8</v>
      </c>
      <c r="B53" s="4" t="s">
        <v>49</v>
      </c>
      <c r="C53" s="1" t="s">
        <v>10</v>
      </c>
      <c r="D53" s="1" t="s">
        <v>10</v>
      </c>
      <c r="E53" s="1" t="s">
        <v>10</v>
      </c>
      <c r="F53" s="4" t="s">
        <v>11</v>
      </c>
      <c r="G53" s="4" t="s">
        <v>12</v>
      </c>
      <c r="H53" s="5" t="s">
        <v>13</v>
      </c>
    </row>
    <row r="54" ht="22.5" customHeight="1">
      <c r="A54" s="4" t="s">
        <v>8</v>
      </c>
      <c r="B54" s="4" t="s">
        <v>61</v>
      </c>
      <c r="C54" s="1" t="s">
        <v>10</v>
      </c>
      <c r="D54" s="1" t="s">
        <v>10</v>
      </c>
      <c r="E54" s="1" t="s">
        <v>10</v>
      </c>
      <c r="F54" s="4" t="s">
        <v>11</v>
      </c>
      <c r="G54" s="4" t="s">
        <v>12</v>
      </c>
      <c r="H54" s="5" t="s">
        <v>13</v>
      </c>
    </row>
    <row r="55" ht="22.5" customHeight="1">
      <c r="A55" s="4" t="s">
        <v>8</v>
      </c>
      <c r="B55" s="4" t="s">
        <v>57</v>
      </c>
      <c r="C55" s="1" t="s">
        <v>10</v>
      </c>
      <c r="D55" s="1" t="s">
        <v>10</v>
      </c>
      <c r="E55" s="1" t="s">
        <v>10</v>
      </c>
      <c r="F55" s="4" t="s">
        <v>11</v>
      </c>
      <c r="G55" s="4" t="s">
        <v>12</v>
      </c>
      <c r="H55" s="5" t="s">
        <v>13</v>
      </c>
    </row>
    <row r="56" ht="22.5" customHeight="1">
      <c r="A56" s="4" t="s">
        <v>8</v>
      </c>
      <c r="B56" s="4" t="s">
        <v>62</v>
      </c>
      <c r="C56" s="1" t="s">
        <v>10</v>
      </c>
      <c r="D56" s="1" t="s">
        <v>10</v>
      </c>
      <c r="E56" s="1" t="s">
        <v>10</v>
      </c>
      <c r="F56" s="4" t="s">
        <v>11</v>
      </c>
      <c r="G56" s="4" t="s">
        <v>12</v>
      </c>
      <c r="H56" s="5" t="s">
        <v>13</v>
      </c>
    </row>
    <row r="57" ht="22.5" customHeight="1">
      <c r="A57" s="4" t="s">
        <v>8</v>
      </c>
      <c r="B57" s="4" t="s">
        <v>63</v>
      </c>
      <c r="C57" s="1" t="s">
        <v>10</v>
      </c>
      <c r="D57" s="1" t="s">
        <v>10</v>
      </c>
      <c r="E57" s="1" t="s">
        <v>10</v>
      </c>
      <c r="F57" s="4" t="s">
        <v>11</v>
      </c>
      <c r="G57" s="4" t="s">
        <v>12</v>
      </c>
      <c r="H57" s="5" t="s">
        <v>13</v>
      </c>
    </row>
    <row r="58" ht="22.5" customHeight="1">
      <c r="A58" s="4" t="s">
        <v>8</v>
      </c>
      <c r="B58" s="4" t="s">
        <v>55</v>
      </c>
      <c r="C58" s="1" t="s">
        <v>10</v>
      </c>
      <c r="D58" s="1" t="s">
        <v>10</v>
      </c>
      <c r="E58" s="1" t="s">
        <v>10</v>
      </c>
      <c r="F58" s="4" t="s">
        <v>11</v>
      </c>
      <c r="G58" s="4" t="s">
        <v>12</v>
      </c>
      <c r="H58" s="5" t="s">
        <v>13</v>
      </c>
    </row>
    <row r="59" ht="22.5" customHeight="1">
      <c r="A59" s="4" t="s">
        <v>8</v>
      </c>
      <c r="B59" s="4" t="s">
        <v>64</v>
      </c>
      <c r="C59" s="1" t="s">
        <v>10</v>
      </c>
      <c r="D59" s="1" t="s">
        <v>10</v>
      </c>
      <c r="E59" s="1" t="s">
        <v>10</v>
      </c>
      <c r="F59" s="4" t="s">
        <v>11</v>
      </c>
      <c r="G59" s="4" t="s">
        <v>12</v>
      </c>
      <c r="H59" s="5" t="s">
        <v>13</v>
      </c>
    </row>
    <row r="60" ht="22.5" customHeight="1">
      <c r="A60" s="4" t="s">
        <v>8</v>
      </c>
      <c r="B60" s="4" t="s">
        <v>65</v>
      </c>
      <c r="C60" s="1" t="s">
        <v>10</v>
      </c>
      <c r="D60" s="1" t="s">
        <v>10</v>
      </c>
      <c r="E60" s="1" t="s">
        <v>10</v>
      </c>
      <c r="F60" s="4" t="s">
        <v>11</v>
      </c>
      <c r="G60" s="4" t="s">
        <v>12</v>
      </c>
      <c r="H60" s="5" t="s">
        <v>13</v>
      </c>
    </row>
    <row r="61" ht="22.5" customHeight="1">
      <c r="A61" s="4" t="s">
        <v>8</v>
      </c>
      <c r="B61" s="4" t="s">
        <v>28</v>
      </c>
      <c r="C61" s="1" t="s">
        <v>10</v>
      </c>
      <c r="D61" s="1" t="s">
        <v>10</v>
      </c>
      <c r="E61" s="1" t="s">
        <v>10</v>
      </c>
      <c r="F61" s="4" t="s">
        <v>11</v>
      </c>
      <c r="G61" s="4" t="s">
        <v>12</v>
      </c>
      <c r="H61" s="5" t="s">
        <v>13</v>
      </c>
    </row>
    <row r="62" ht="22.5" customHeight="1">
      <c r="A62" s="4" t="s">
        <v>8</v>
      </c>
      <c r="B62" s="4" t="s">
        <v>66</v>
      </c>
      <c r="C62" s="1" t="s">
        <v>10</v>
      </c>
      <c r="D62" s="1" t="s">
        <v>10</v>
      </c>
      <c r="E62" s="1" t="s">
        <v>10</v>
      </c>
      <c r="F62" s="4" t="s">
        <v>11</v>
      </c>
      <c r="G62" s="4" t="s">
        <v>12</v>
      </c>
      <c r="H62" s="5" t="s">
        <v>13</v>
      </c>
    </row>
    <row r="63" ht="22.5" customHeight="1">
      <c r="A63" s="4" t="s">
        <v>67</v>
      </c>
      <c r="B63" s="4" t="s">
        <v>68</v>
      </c>
      <c r="C63" s="1" t="s">
        <v>10</v>
      </c>
      <c r="D63" s="1" t="s">
        <v>10</v>
      </c>
      <c r="E63" s="1" t="s">
        <v>10</v>
      </c>
      <c r="F63" s="4" t="s">
        <v>11</v>
      </c>
      <c r="G63" s="4" t="s">
        <v>12</v>
      </c>
      <c r="H63" s="5" t="s">
        <v>69</v>
      </c>
    </row>
    <row r="64" ht="22.5" customHeight="1">
      <c r="A64" s="4" t="s">
        <v>67</v>
      </c>
      <c r="B64" s="4" t="s">
        <v>70</v>
      </c>
      <c r="C64" s="1" t="s">
        <v>10</v>
      </c>
      <c r="D64" s="1" t="s">
        <v>10</v>
      </c>
      <c r="E64" s="1" t="s">
        <v>10</v>
      </c>
      <c r="F64" s="4" t="s">
        <v>11</v>
      </c>
      <c r="G64" s="4" t="s">
        <v>12</v>
      </c>
      <c r="H64" s="5" t="s">
        <v>69</v>
      </c>
    </row>
    <row r="65" ht="22.5" customHeight="1">
      <c r="A65" s="4" t="s">
        <v>67</v>
      </c>
      <c r="B65" s="4" t="s">
        <v>71</v>
      </c>
      <c r="C65" s="1" t="s">
        <v>10</v>
      </c>
      <c r="D65" s="1" t="s">
        <v>10</v>
      </c>
      <c r="E65" s="1" t="s">
        <v>10</v>
      </c>
      <c r="F65" s="4" t="s">
        <v>11</v>
      </c>
      <c r="G65" s="4" t="s">
        <v>12</v>
      </c>
      <c r="H65" s="5" t="s">
        <v>69</v>
      </c>
    </row>
    <row r="66" ht="22.5" customHeight="1">
      <c r="A66" s="4" t="s">
        <v>67</v>
      </c>
      <c r="B66" s="4" t="s">
        <v>72</v>
      </c>
      <c r="C66" s="1" t="s">
        <v>10</v>
      </c>
      <c r="D66" s="1" t="s">
        <v>10</v>
      </c>
      <c r="E66" s="1" t="s">
        <v>10</v>
      </c>
      <c r="F66" s="4" t="s">
        <v>11</v>
      </c>
      <c r="G66" s="4" t="s">
        <v>12</v>
      </c>
      <c r="H66" s="5" t="s">
        <v>69</v>
      </c>
    </row>
    <row r="67" ht="22.5" customHeight="1">
      <c r="A67" s="4" t="s">
        <v>67</v>
      </c>
      <c r="B67" s="4" t="s">
        <v>73</v>
      </c>
      <c r="C67" s="1" t="s">
        <v>10</v>
      </c>
      <c r="D67" s="1" t="s">
        <v>10</v>
      </c>
      <c r="E67" s="1" t="s">
        <v>10</v>
      </c>
      <c r="F67" s="4" t="s">
        <v>11</v>
      </c>
      <c r="G67" s="4" t="s">
        <v>12</v>
      </c>
      <c r="H67" s="5" t="s">
        <v>69</v>
      </c>
    </row>
    <row r="68" ht="22.5" customHeight="1">
      <c r="A68" s="4" t="s">
        <v>67</v>
      </c>
      <c r="B68" s="4" t="s">
        <v>74</v>
      </c>
      <c r="C68" s="1" t="s">
        <v>10</v>
      </c>
      <c r="D68" s="1" t="s">
        <v>10</v>
      </c>
      <c r="E68" s="1" t="s">
        <v>10</v>
      </c>
      <c r="F68" s="4" t="s">
        <v>11</v>
      </c>
      <c r="G68" s="4" t="s">
        <v>12</v>
      </c>
      <c r="H68" s="5" t="s">
        <v>69</v>
      </c>
    </row>
    <row r="69" ht="22.5" customHeight="1">
      <c r="A69" s="4" t="s">
        <v>67</v>
      </c>
      <c r="B69" s="4" t="s">
        <v>73</v>
      </c>
      <c r="C69" s="1" t="s">
        <v>10</v>
      </c>
      <c r="D69" s="1" t="s">
        <v>10</v>
      </c>
      <c r="E69" s="1" t="s">
        <v>10</v>
      </c>
      <c r="F69" s="4" t="s">
        <v>11</v>
      </c>
      <c r="G69" s="4" t="s">
        <v>12</v>
      </c>
      <c r="H69" s="5" t="s">
        <v>69</v>
      </c>
    </row>
    <row r="70" ht="22.5" customHeight="1">
      <c r="A70" s="4" t="s">
        <v>67</v>
      </c>
      <c r="B70" s="4" t="s">
        <v>68</v>
      </c>
      <c r="C70" s="1" t="s">
        <v>10</v>
      </c>
      <c r="D70" s="1" t="s">
        <v>10</v>
      </c>
      <c r="E70" s="1" t="s">
        <v>10</v>
      </c>
      <c r="F70" s="4" t="s">
        <v>11</v>
      </c>
      <c r="G70" s="4" t="s">
        <v>12</v>
      </c>
      <c r="H70" s="5" t="s">
        <v>69</v>
      </c>
    </row>
    <row r="71" ht="22.5" customHeight="1">
      <c r="A71" s="4" t="s">
        <v>67</v>
      </c>
      <c r="B71" s="4" t="s">
        <v>75</v>
      </c>
      <c r="C71" s="1" t="s">
        <v>10</v>
      </c>
      <c r="D71" s="1" t="s">
        <v>10</v>
      </c>
      <c r="E71" s="1" t="s">
        <v>10</v>
      </c>
      <c r="F71" s="4" t="s">
        <v>11</v>
      </c>
      <c r="G71" s="4" t="s">
        <v>12</v>
      </c>
      <c r="H71" s="5" t="s">
        <v>69</v>
      </c>
    </row>
    <row r="72" ht="22.5" customHeight="1">
      <c r="A72" s="4" t="s">
        <v>67</v>
      </c>
      <c r="B72" s="4" t="s">
        <v>76</v>
      </c>
      <c r="C72" s="1" t="s">
        <v>10</v>
      </c>
      <c r="D72" s="1" t="s">
        <v>10</v>
      </c>
      <c r="E72" s="1" t="s">
        <v>10</v>
      </c>
      <c r="F72" s="4" t="s">
        <v>11</v>
      </c>
      <c r="G72" s="4" t="s">
        <v>12</v>
      </c>
      <c r="H72" s="5" t="s">
        <v>69</v>
      </c>
    </row>
    <row r="73" ht="22.5" customHeight="1">
      <c r="A73" s="4" t="s">
        <v>67</v>
      </c>
      <c r="B73" s="4" t="s">
        <v>77</v>
      </c>
      <c r="C73" s="1" t="s">
        <v>10</v>
      </c>
      <c r="D73" s="1" t="s">
        <v>10</v>
      </c>
      <c r="E73" s="1" t="s">
        <v>10</v>
      </c>
      <c r="F73" s="4" t="s">
        <v>11</v>
      </c>
      <c r="G73" s="4" t="s">
        <v>12</v>
      </c>
      <c r="H73" s="5" t="s">
        <v>69</v>
      </c>
    </row>
    <row r="74" ht="22.5" customHeight="1">
      <c r="A74" s="4" t="s">
        <v>67</v>
      </c>
      <c r="B74" s="4" t="s">
        <v>78</v>
      </c>
      <c r="C74" s="1" t="s">
        <v>10</v>
      </c>
      <c r="D74" s="1" t="s">
        <v>10</v>
      </c>
      <c r="E74" s="1" t="s">
        <v>10</v>
      </c>
      <c r="F74" s="4" t="s">
        <v>11</v>
      </c>
      <c r="G74" s="4" t="s">
        <v>12</v>
      </c>
      <c r="H74" s="5" t="s">
        <v>69</v>
      </c>
    </row>
    <row r="75" ht="22.5" customHeight="1">
      <c r="A75" s="4" t="s">
        <v>67</v>
      </c>
      <c r="B75" s="4" t="s">
        <v>79</v>
      </c>
      <c r="C75" s="1" t="s">
        <v>10</v>
      </c>
      <c r="D75" s="1" t="s">
        <v>10</v>
      </c>
      <c r="E75" s="1" t="s">
        <v>10</v>
      </c>
      <c r="F75" s="4" t="s">
        <v>11</v>
      </c>
      <c r="G75" s="4" t="s">
        <v>12</v>
      </c>
      <c r="H75" s="5" t="s">
        <v>69</v>
      </c>
    </row>
    <row r="76" ht="22.5" customHeight="1">
      <c r="A76" s="4" t="s">
        <v>67</v>
      </c>
      <c r="B76" s="4" t="s">
        <v>80</v>
      </c>
      <c r="C76" s="1" t="s">
        <v>10</v>
      </c>
      <c r="D76" s="1" t="s">
        <v>10</v>
      </c>
      <c r="E76" s="1" t="s">
        <v>10</v>
      </c>
      <c r="F76" s="4" t="s">
        <v>11</v>
      </c>
      <c r="G76" s="4" t="s">
        <v>12</v>
      </c>
      <c r="H76" s="5" t="s">
        <v>69</v>
      </c>
    </row>
    <row r="77" ht="22.5" customHeight="1">
      <c r="A77" s="4" t="s">
        <v>67</v>
      </c>
      <c r="B77" s="4" t="s">
        <v>81</v>
      </c>
      <c r="C77" s="1" t="s">
        <v>10</v>
      </c>
      <c r="D77" s="1" t="s">
        <v>10</v>
      </c>
      <c r="E77" s="1" t="s">
        <v>10</v>
      </c>
      <c r="F77" s="4" t="s">
        <v>11</v>
      </c>
      <c r="G77" s="4" t="s">
        <v>12</v>
      </c>
      <c r="H77" s="5" t="s">
        <v>69</v>
      </c>
    </row>
    <row r="78" ht="22.5" customHeight="1">
      <c r="A78" s="4" t="s">
        <v>67</v>
      </c>
      <c r="B78" s="4" t="s">
        <v>82</v>
      </c>
      <c r="C78" s="1" t="s">
        <v>10</v>
      </c>
      <c r="D78" s="1" t="s">
        <v>10</v>
      </c>
      <c r="E78" s="1" t="s">
        <v>10</v>
      </c>
      <c r="F78" s="4" t="s">
        <v>11</v>
      </c>
      <c r="G78" s="4" t="s">
        <v>12</v>
      </c>
      <c r="H78" s="5" t="s">
        <v>69</v>
      </c>
    </row>
    <row r="79" ht="22.5" customHeight="1">
      <c r="A79" s="4" t="s">
        <v>67</v>
      </c>
      <c r="B79" s="4" t="s">
        <v>83</v>
      </c>
      <c r="C79" s="1" t="s">
        <v>10</v>
      </c>
      <c r="D79" s="1" t="s">
        <v>10</v>
      </c>
      <c r="E79" s="1" t="s">
        <v>10</v>
      </c>
      <c r="F79" s="4" t="s">
        <v>11</v>
      </c>
      <c r="G79" s="4" t="s">
        <v>12</v>
      </c>
      <c r="H79" s="5" t="s">
        <v>69</v>
      </c>
    </row>
    <row r="80" ht="22.5" customHeight="1">
      <c r="A80" s="4" t="s">
        <v>67</v>
      </c>
      <c r="B80" s="4" t="s">
        <v>84</v>
      </c>
      <c r="C80" s="1" t="s">
        <v>10</v>
      </c>
      <c r="D80" s="1" t="s">
        <v>10</v>
      </c>
      <c r="E80" s="1" t="s">
        <v>10</v>
      </c>
      <c r="F80" s="4" t="s">
        <v>11</v>
      </c>
      <c r="G80" s="4" t="s">
        <v>12</v>
      </c>
      <c r="H80" s="5" t="s">
        <v>69</v>
      </c>
    </row>
    <row r="81" ht="22.5" customHeight="1">
      <c r="A81" s="4" t="s">
        <v>85</v>
      </c>
      <c r="B81" s="4" t="s">
        <v>86</v>
      </c>
      <c r="C81" s="1" t="s">
        <v>10</v>
      </c>
      <c r="D81" s="1" t="s">
        <v>10</v>
      </c>
      <c r="E81" s="1" t="s">
        <v>10</v>
      </c>
      <c r="F81" s="4" t="s">
        <v>11</v>
      </c>
      <c r="G81" s="4" t="s">
        <v>12</v>
      </c>
      <c r="H81" s="5" t="s">
        <v>87</v>
      </c>
    </row>
    <row r="82" ht="22.5" customHeight="1">
      <c r="A82" s="4" t="s">
        <v>85</v>
      </c>
      <c r="B82" s="4" t="s">
        <v>88</v>
      </c>
      <c r="C82" s="1" t="s">
        <v>10</v>
      </c>
      <c r="D82" s="1" t="s">
        <v>10</v>
      </c>
      <c r="E82" s="1" t="s">
        <v>10</v>
      </c>
      <c r="F82" s="4" t="s">
        <v>11</v>
      </c>
      <c r="G82" s="4" t="s">
        <v>12</v>
      </c>
      <c r="H82" s="5" t="s">
        <v>87</v>
      </c>
    </row>
    <row r="83" ht="22.5" customHeight="1">
      <c r="A83" s="4" t="s">
        <v>85</v>
      </c>
      <c r="B83" s="4" t="s">
        <v>89</v>
      </c>
      <c r="C83" s="1" t="s">
        <v>10</v>
      </c>
      <c r="D83" s="1" t="s">
        <v>10</v>
      </c>
      <c r="E83" s="1" t="s">
        <v>10</v>
      </c>
      <c r="F83" s="4" t="s">
        <v>11</v>
      </c>
      <c r="G83" s="4" t="s">
        <v>12</v>
      </c>
      <c r="H83" s="5" t="s">
        <v>87</v>
      </c>
    </row>
    <row r="84" ht="22.5" customHeight="1">
      <c r="A84" s="4" t="s">
        <v>85</v>
      </c>
      <c r="B84" s="4" t="s">
        <v>90</v>
      </c>
      <c r="C84" s="1" t="s">
        <v>10</v>
      </c>
      <c r="D84" s="1" t="s">
        <v>10</v>
      </c>
      <c r="E84" s="1" t="s">
        <v>10</v>
      </c>
      <c r="F84" s="4" t="s">
        <v>11</v>
      </c>
      <c r="G84" s="4" t="s">
        <v>12</v>
      </c>
      <c r="H84" s="5" t="s">
        <v>87</v>
      </c>
    </row>
    <row r="85" ht="22.5" customHeight="1">
      <c r="A85" s="4" t="s">
        <v>85</v>
      </c>
      <c r="B85" s="4" t="s">
        <v>91</v>
      </c>
      <c r="C85" s="1" t="s">
        <v>10</v>
      </c>
      <c r="D85" s="1" t="s">
        <v>10</v>
      </c>
      <c r="E85" s="1" t="s">
        <v>10</v>
      </c>
      <c r="F85" s="4" t="s">
        <v>11</v>
      </c>
      <c r="G85" s="4" t="s">
        <v>12</v>
      </c>
      <c r="H85" s="5" t="s">
        <v>87</v>
      </c>
    </row>
    <row r="86" ht="22.5" customHeight="1">
      <c r="A86" s="4" t="s">
        <v>85</v>
      </c>
      <c r="B86" s="4" t="s">
        <v>92</v>
      </c>
      <c r="C86" s="1" t="s">
        <v>10</v>
      </c>
      <c r="D86" s="1" t="s">
        <v>10</v>
      </c>
      <c r="E86" s="1" t="s">
        <v>10</v>
      </c>
      <c r="F86" s="4" t="s">
        <v>11</v>
      </c>
      <c r="G86" s="4" t="s">
        <v>12</v>
      </c>
      <c r="H86" s="5" t="s">
        <v>87</v>
      </c>
    </row>
    <row r="87" ht="22.5" customHeight="1">
      <c r="A87" s="4" t="s">
        <v>85</v>
      </c>
      <c r="B87" s="4" t="s">
        <v>93</v>
      </c>
      <c r="C87" s="1" t="s">
        <v>10</v>
      </c>
      <c r="D87" s="1" t="s">
        <v>10</v>
      </c>
      <c r="E87" s="1" t="s">
        <v>10</v>
      </c>
      <c r="F87" s="4" t="s">
        <v>11</v>
      </c>
      <c r="G87" s="4" t="s">
        <v>12</v>
      </c>
      <c r="H87" s="5" t="s">
        <v>87</v>
      </c>
    </row>
    <row r="88" ht="22.5" customHeight="1">
      <c r="A88" s="4" t="s">
        <v>85</v>
      </c>
      <c r="B88" s="4" t="s">
        <v>86</v>
      </c>
      <c r="C88" s="1" t="s">
        <v>10</v>
      </c>
      <c r="D88" s="1" t="s">
        <v>10</v>
      </c>
      <c r="E88" s="1" t="s">
        <v>10</v>
      </c>
      <c r="F88" s="4" t="s">
        <v>11</v>
      </c>
      <c r="G88" s="4" t="s">
        <v>12</v>
      </c>
      <c r="H88" s="5" t="s">
        <v>87</v>
      </c>
    </row>
    <row r="89" ht="22.5" customHeight="1">
      <c r="A89" s="4" t="s">
        <v>85</v>
      </c>
      <c r="B89" s="4" t="s">
        <v>94</v>
      </c>
      <c r="C89" s="1" t="s">
        <v>10</v>
      </c>
      <c r="D89" s="1" t="s">
        <v>10</v>
      </c>
      <c r="E89" s="1" t="s">
        <v>10</v>
      </c>
      <c r="F89" s="4" t="s">
        <v>11</v>
      </c>
      <c r="G89" s="4" t="s">
        <v>12</v>
      </c>
      <c r="H89" s="5" t="s">
        <v>87</v>
      </c>
    </row>
    <row r="90" ht="22.5" customHeight="1">
      <c r="A90" s="4" t="s">
        <v>85</v>
      </c>
      <c r="B90" s="4" t="s">
        <v>95</v>
      </c>
      <c r="C90" s="1" t="s">
        <v>10</v>
      </c>
      <c r="D90" s="1" t="s">
        <v>10</v>
      </c>
      <c r="E90" s="1" t="s">
        <v>10</v>
      </c>
      <c r="F90" s="4" t="s">
        <v>11</v>
      </c>
      <c r="G90" s="4" t="s">
        <v>12</v>
      </c>
      <c r="H90" s="5" t="s">
        <v>87</v>
      </c>
    </row>
    <row r="91" ht="22.5" customHeight="1">
      <c r="A91" s="4" t="s">
        <v>85</v>
      </c>
      <c r="B91" s="4" t="s">
        <v>96</v>
      </c>
      <c r="C91" s="1" t="s">
        <v>10</v>
      </c>
      <c r="D91" s="1" t="s">
        <v>10</v>
      </c>
      <c r="E91" s="1" t="s">
        <v>10</v>
      </c>
      <c r="F91" s="4" t="s">
        <v>11</v>
      </c>
      <c r="G91" s="4" t="s">
        <v>12</v>
      </c>
      <c r="H91" s="5" t="s">
        <v>87</v>
      </c>
    </row>
    <row r="92" ht="22.5" customHeight="1">
      <c r="A92" s="4" t="s">
        <v>85</v>
      </c>
      <c r="B92" s="4" t="s">
        <v>97</v>
      </c>
      <c r="C92" s="1" t="s">
        <v>10</v>
      </c>
      <c r="D92" s="1" t="s">
        <v>10</v>
      </c>
      <c r="E92" s="1" t="s">
        <v>10</v>
      </c>
      <c r="F92" s="4" t="s">
        <v>11</v>
      </c>
      <c r="G92" s="4" t="s">
        <v>12</v>
      </c>
      <c r="H92" s="5" t="s">
        <v>87</v>
      </c>
    </row>
    <row r="93" ht="22.5" customHeight="1">
      <c r="A93" s="4" t="s">
        <v>98</v>
      </c>
      <c r="B93" s="4" t="s">
        <v>99</v>
      </c>
      <c r="C93" s="1" t="s">
        <v>10</v>
      </c>
      <c r="D93" s="1" t="s">
        <v>10</v>
      </c>
      <c r="E93" s="1" t="s">
        <v>10</v>
      </c>
      <c r="F93" s="4" t="s">
        <v>11</v>
      </c>
      <c r="G93" s="4" t="s">
        <v>12</v>
      </c>
      <c r="H93" s="5" t="s">
        <v>100</v>
      </c>
    </row>
    <row r="94" ht="22.5" customHeight="1">
      <c r="A94" s="4" t="s">
        <v>98</v>
      </c>
      <c r="B94" s="4" t="s">
        <v>101</v>
      </c>
      <c r="C94" s="1" t="s">
        <v>10</v>
      </c>
      <c r="D94" s="1" t="s">
        <v>10</v>
      </c>
      <c r="E94" s="1" t="s">
        <v>10</v>
      </c>
      <c r="F94" s="4" t="s">
        <v>11</v>
      </c>
      <c r="G94" s="4" t="s">
        <v>12</v>
      </c>
      <c r="H94" s="5" t="s">
        <v>100</v>
      </c>
    </row>
    <row r="95" ht="22.5" customHeight="1">
      <c r="A95" s="4" t="s">
        <v>98</v>
      </c>
      <c r="B95" s="4" t="s">
        <v>102</v>
      </c>
      <c r="C95" s="1" t="s">
        <v>10</v>
      </c>
      <c r="D95" s="1" t="s">
        <v>10</v>
      </c>
      <c r="E95" s="1" t="s">
        <v>10</v>
      </c>
      <c r="F95" s="4" t="s">
        <v>11</v>
      </c>
      <c r="G95" s="4" t="s">
        <v>12</v>
      </c>
      <c r="H95" s="5" t="s">
        <v>100</v>
      </c>
    </row>
    <row r="96" ht="22.5" customHeight="1">
      <c r="A96" s="4" t="s">
        <v>98</v>
      </c>
      <c r="B96" s="4" t="s">
        <v>103</v>
      </c>
      <c r="C96" s="1" t="s">
        <v>10</v>
      </c>
      <c r="D96" s="1" t="s">
        <v>10</v>
      </c>
      <c r="E96" s="1" t="s">
        <v>10</v>
      </c>
      <c r="F96" s="4" t="s">
        <v>11</v>
      </c>
      <c r="G96" s="4" t="s">
        <v>12</v>
      </c>
      <c r="H96" s="5" t="s">
        <v>100</v>
      </c>
    </row>
    <row r="97" ht="22.5" customHeight="1">
      <c r="A97" s="4" t="s">
        <v>98</v>
      </c>
      <c r="B97" s="4" t="s">
        <v>104</v>
      </c>
      <c r="C97" s="1" t="s">
        <v>10</v>
      </c>
      <c r="D97" s="1" t="s">
        <v>10</v>
      </c>
      <c r="E97" s="1" t="s">
        <v>10</v>
      </c>
      <c r="F97" s="4" t="s">
        <v>11</v>
      </c>
      <c r="G97" s="4" t="s">
        <v>12</v>
      </c>
      <c r="H97" s="5" t="s">
        <v>100</v>
      </c>
    </row>
    <row r="98" ht="22.5" customHeight="1">
      <c r="A98" s="4" t="s">
        <v>98</v>
      </c>
      <c r="B98" s="4" t="s">
        <v>105</v>
      </c>
      <c r="C98" s="1" t="s">
        <v>10</v>
      </c>
      <c r="D98" s="1" t="s">
        <v>10</v>
      </c>
      <c r="E98" s="1" t="s">
        <v>10</v>
      </c>
      <c r="F98" s="4" t="s">
        <v>11</v>
      </c>
      <c r="G98" s="4" t="s">
        <v>12</v>
      </c>
      <c r="H98" s="5" t="s">
        <v>100</v>
      </c>
    </row>
    <row r="99" ht="22.5" customHeight="1">
      <c r="A99" s="4" t="s">
        <v>98</v>
      </c>
      <c r="B99" s="4" t="s">
        <v>106</v>
      </c>
      <c r="C99" s="1" t="s">
        <v>10</v>
      </c>
      <c r="D99" s="1" t="s">
        <v>10</v>
      </c>
      <c r="E99" s="1" t="s">
        <v>10</v>
      </c>
      <c r="F99" s="4" t="s">
        <v>11</v>
      </c>
      <c r="G99" s="4" t="s">
        <v>12</v>
      </c>
      <c r="H99" s="5" t="s">
        <v>100</v>
      </c>
    </row>
    <row r="100" ht="22.5" customHeight="1">
      <c r="A100" s="4" t="s">
        <v>107</v>
      </c>
      <c r="B100" s="4" t="s">
        <v>108</v>
      </c>
      <c r="C100" s="1" t="s">
        <v>10</v>
      </c>
      <c r="D100" s="1" t="s">
        <v>10</v>
      </c>
      <c r="E100" s="1" t="s">
        <v>10</v>
      </c>
      <c r="F100" s="4" t="s">
        <v>11</v>
      </c>
      <c r="G100" s="4" t="s">
        <v>12</v>
      </c>
      <c r="H100" s="5" t="s">
        <v>109</v>
      </c>
    </row>
    <row r="101" ht="22.5" customHeight="1">
      <c r="A101" s="4" t="s">
        <v>107</v>
      </c>
      <c r="B101" s="4" t="s">
        <v>110</v>
      </c>
      <c r="C101" s="1" t="s">
        <v>10</v>
      </c>
      <c r="D101" s="1" t="s">
        <v>10</v>
      </c>
      <c r="E101" s="1" t="s">
        <v>10</v>
      </c>
      <c r="F101" s="4" t="s">
        <v>11</v>
      </c>
      <c r="G101" s="4" t="s">
        <v>12</v>
      </c>
      <c r="H101" s="5" t="s">
        <v>109</v>
      </c>
    </row>
    <row r="102" ht="22.5" customHeight="1">
      <c r="A102" s="4" t="s">
        <v>107</v>
      </c>
      <c r="B102" s="4" t="s">
        <v>111</v>
      </c>
      <c r="C102" s="1" t="s">
        <v>10</v>
      </c>
      <c r="D102" s="1" t="s">
        <v>10</v>
      </c>
      <c r="E102" s="1" t="s">
        <v>10</v>
      </c>
      <c r="F102" s="4" t="s">
        <v>11</v>
      </c>
      <c r="G102" s="4" t="s">
        <v>12</v>
      </c>
      <c r="H102" s="5" t="s">
        <v>109</v>
      </c>
    </row>
    <row r="103" ht="22.5" customHeight="1">
      <c r="A103" s="4" t="s">
        <v>107</v>
      </c>
      <c r="B103" s="4" t="s">
        <v>112</v>
      </c>
      <c r="C103" s="1" t="s">
        <v>10</v>
      </c>
      <c r="D103" s="1" t="s">
        <v>10</v>
      </c>
      <c r="E103" s="1" t="s">
        <v>10</v>
      </c>
      <c r="F103" s="4" t="s">
        <v>11</v>
      </c>
      <c r="G103" s="4" t="s">
        <v>12</v>
      </c>
      <c r="H103" s="5" t="s">
        <v>109</v>
      </c>
    </row>
    <row r="104" ht="22.5" customHeight="1">
      <c r="A104" s="4" t="s">
        <v>107</v>
      </c>
      <c r="B104" s="4" t="s">
        <v>113</v>
      </c>
      <c r="C104" s="1" t="s">
        <v>10</v>
      </c>
      <c r="D104" s="1" t="s">
        <v>10</v>
      </c>
      <c r="E104" s="1" t="s">
        <v>10</v>
      </c>
      <c r="F104" s="4" t="s">
        <v>11</v>
      </c>
      <c r="G104" s="4" t="s">
        <v>12</v>
      </c>
      <c r="H104" s="5" t="s">
        <v>109</v>
      </c>
    </row>
    <row r="105" ht="22.5" customHeight="1">
      <c r="A105" s="4" t="s">
        <v>107</v>
      </c>
      <c r="B105" s="4" t="s">
        <v>114</v>
      </c>
      <c r="C105" s="1" t="s">
        <v>10</v>
      </c>
      <c r="D105" s="1" t="s">
        <v>10</v>
      </c>
      <c r="E105" s="1" t="s">
        <v>10</v>
      </c>
      <c r="F105" s="4" t="s">
        <v>11</v>
      </c>
      <c r="G105" s="4" t="s">
        <v>12</v>
      </c>
      <c r="H105" s="5" t="s">
        <v>109</v>
      </c>
    </row>
    <row r="106" ht="22.5" customHeight="1">
      <c r="A106" s="4" t="s">
        <v>107</v>
      </c>
      <c r="B106" s="4" t="s">
        <v>115</v>
      </c>
      <c r="C106" s="1" t="s">
        <v>10</v>
      </c>
      <c r="D106" s="1" t="s">
        <v>10</v>
      </c>
      <c r="E106" s="1" t="s">
        <v>10</v>
      </c>
      <c r="F106" s="4" t="s">
        <v>11</v>
      </c>
      <c r="G106" s="4" t="s">
        <v>12</v>
      </c>
      <c r="H106" s="5" t="s">
        <v>109</v>
      </c>
    </row>
    <row r="107" ht="22.5" customHeight="1">
      <c r="A107" s="4" t="s">
        <v>107</v>
      </c>
      <c r="B107" s="4" t="s">
        <v>116</v>
      </c>
      <c r="C107" s="1" t="s">
        <v>10</v>
      </c>
      <c r="D107" s="1" t="s">
        <v>10</v>
      </c>
      <c r="E107" s="1" t="s">
        <v>10</v>
      </c>
      <c r="F107" s="4" t="s">
        <v>11</v>
      </c>
      <c r="G107" s="4" t="s">
        <v>12</v>
      </c>
      <c r="H107" s="5" t="s">
        <v>109</v>
      </c>
    </row>
    <row r="108" ht="22.5" customHeight="1">
      <c r="A108" s="4" t="s">
        <v>107</v>
      </c>
      <c r="B108" s="4" t="s">
        <v>117</v>
      </c>
      <c r="C108" s="1" t="s">
        <v>10</v>
      </c>
      <c r="D108" s="1" t="s">
        <v>10</v>
      </c>
      <c r="E108" s="1" t="s">
        <v>10</v>
      </c>
      <c r="F108" s="4" t="s">
        <v>11</v>
      </c>
      <c r="G108" s="4" t="s">
        <v>12</v>
      </c>
      <c r="H108" s="5" t="s">
        <v>109</v>
      </c>
    </row>
    <row r="109" ht="22.5" customHeight="1">
      <c r="A109" s="4" t="s">
        <v>107</v>
      </c>
      <c r="B109" s="4" t="s">
        <v>118</v>
      </c>
      <c r="C109" s="1" t="s">
        <v>10</v>
      </c>
      <c r="D109" s="1" t="s">
        <v>10</v>
      </c>
      <c r="E109" s="1" t="s">
        <v>10</v>
      </c>
      <c r="F109" s="4" t="s">
        <v>11</v>
      </c>
      <c r="G109" s="4" t="s">
        <v>12</v>
      </c>
      <c r="H109" s="5" t="s">
        <v>109</v>
      </c>
    </row>
    <row r="110" ht="22.5" customHeight="1">
      <c r="A110" s="4" t="s">
        <v>107</v>
      </c>
      <c r="B110" s="4" t="s">
        <v>119</v>
      </c>
      <c r="C110" s="1" t="s">
        <v>10</v>
      </c>
      <c r="D110" s="1" t="s">
        <v>10</v>
      </c>
      <c r="E110" s="1" t="s">
        <v>10</v>
      </c>
      <c r="F110" s="4" t="s">
        <v>11</v>
      </c>
      <c r="G110" s="4" t="s">
        <v>12</v>
      </c>
      <c r="H110" s="5" t="s">
        <v>109</v>
      </c>
    </row>
    <row r="111" ht="22.5" customHeight="1">
      <c r="A111" s="4" t="s">
        <v>107</v>
      </c>
      <c r="B111" s="4" t="s">
        <v>120</v>
      </c>
      <c r="C111" s="1" t="s">
        <v>10</v>
      </c>
      <c r="D111" s="1" t="s">
        <v>10</v>
      </c>
      <c r="E111" s="1" t="s">
        <v>10</v>
      </c>
      <c r="F111" s="4" t="s">
        <v>11</v>
      </c>
      <c r="G111" s="4" t="s">
        <v>12</v>
      </c>
      <c r="H111" s="5" t="s">
        <v>109</v>
      </c>
    </row>
    <row r="112" ht="22.5" customHeight="1">
      <c r="A112" s="4" t="s">
        <v>107</v>
      </c>
      <c r="B112" s="4" t="s">
        <v>121</v>
      </c>
      <c r="C112" s="1" t="s">
        <v>10</v>
      </c>
      <c r="D112" s="1" t="s">
        <v>10</v>
      </c>
      <c r="E112" s="1" t="s">
        <v>10</v>
      </c>
      <c r="F112" s="4" t="s">
        <v>11</v>
      </c>
      <c r="G112" s="4" t="s">
        <v>12</v>
      </c>
      <c r="H112" s="5" t="s">
        <v>109</v>
      </c>
    </row>
    <row r="113" ht="22.5" customHeight="1">
      <c r="A113" s="4" t="s">
        <v>107</v>
      </c>
      <c r="B113" s="4" t="s">
        <v>122</v>
      </c>
      <c r="C113" s="1" t="s">
        <v>10</v>
      </c>
      <c r="D113" s="1" t="s">
        <v>10</v>
      </c>
      <c r="E113" s="1" t="s">
        <v>10</v>
      </c>
      <c r="F113" s="4" t="s">
        <v>11</v>
      </c>
      <c r="G113" s="4" t="s">
        <v>12</v>
      </c>
      <c r="H113" s="5" t="s">
        <v>109</v>
      </c>
    </row>
    <row r="114" ht="22.5" customHeight="1">
      <c r="A114" s="4" t="s">
        <v>107</v>
      </c>
      <c r="B114" s="4" t="s">
        <v>123</v>
      </c>
      <c r="C114" s="1" t="s">
        <v>10</v>
      </c>
      <c r="D114" s="1" t="s">
        <v>10</v>
      </c>
      <c r="E114" s="1" t="s">
        <v>10</v>
      </c>
      <c r="F114" s="4" t="s">
        <v>11</v>
      </c>
      <c r="G114" s="4" t="s">
        <v>12</v>
      </c>
      <c r="H114" s="5" t="s">
        <v>109</v>
      </c>
    </row>
    <row r="115" ht="22.5" customHeight="1">
      <c r="A115" s="4" t="s">
        <v>107</v>
      </c>
      <c r="B115" s="4" t="s">
        <v>124</v>
      </c>
      <c r="C115" s="1" t="s">
        <v>10</v>
      </c>
      <c r="D115" s="1" t="s">
        <v>10</v>
      </c>
      <c r="E115" s="1" t="s">
        <v>10</v>
      </c>
      <c r="F115" s="4" t="s">
        <v>11</v>
      </c>
      <c r="G115" s="4" t="s">
        <v>12</v>
      </c>
      <c r="H115" s="5" t="s">
        <v>109</v>
      </c>
    </row>
    <row r="116" ht="22.5" customHeight="1">
      <c r="A116" s="4" t="s">
        <v>107</v>
      </c>
      <c r="B116" s="4" t="s">
        <v>116</v>
      </c>
      <c r="C116" s="1" t="s">
        <v>10</v>
      </c>
      <c r="D116" s="1" t="s">
        <v>10</v>
      </c>
      <c r="E116" s="1" t="s">
        <v>10</v>
      </c>
      <c r="F116" s="4" t="s">
        <v>11</v>
      </c>
      <c r="G116" s="4" t="s">
        <v>12</v>
      </c>
      <c r="H116" s="5" t="s">
        <v>109</v>
      </c>
    </row>
    <row r="117" ht="22.5" customHeight="1">
      <c r="A117" s="4" t="s">
        <v>107</v>
      </c>
      <c r="B117" s="4" t="s">
        <v>125</v>
      </c>
      <c r="C117" s="1" t="s">
        <v>10</v>
      </c>
      <c r="D117" s="1" t="s">
        <v>10</v>
      </c>
      <c r="E117" s="1" t="s">
        <v>10</v>
      </c>
      <c r="F117" s="4" t="s">
        <v>11</v>
      </c>
      <c r="G117" s="4" t="s">
        <v>12</v>
      </c>
      <c r="H117" s="5" t="s">
        <v>109</v>
      </c>
    </row>
    <row r="118" ht="22.5" customHeight="1">
      <c r="A118" s="4" t="s">
        <v>107</v>
      </c>
      <c r="B118" s="4" t="s">
        <v>126</v>
      </c>
      <c r="C118" s="1" t="s">
        <v>10</v>
      </c>
      <c r="D118" s="1" t="s">
        <v>10</v>
      </c>
      <c r="E118" s="1" t="s">
        <v>10</v>
      </c>
      <c r="F118" s="4" t="s">
        <v>11</v>
      </c>
      <c r="G118" s="4" t="s">
        <v>12</v>
      </c>
      <c r="H118" s="5" t="s">
        <v>109</v>
      </c>
    </row>
    <row r="119" ht="22.5" customHeight="1">
      <c r="A119" s="4" t="s">
        <v>107</v>
      </c>
      <c r="B119" s="4" t="s">
        <v>127</v>
      </c>
      <c r="C119" s="1" t="s">
        <v>10</v>
      </c>
      <c r="D119" s="1" t="s">
        <v>10</v>
      </c>
      <c r="E119" s="1" t="s">
        <v>10</v>
      </c>
      <c r="F119" s="4" t="s">
        <v>11</v>
      </c>
      <c r="G119" s="4" t="s">
        <v>12</v>
      </c>
      <c r="H119" s="5" t="s">
        <v>109</v>
      </c>
    </row>
    <row r="120" ht="22.5" customHeight="1">
      <c r="A120" s="4" t="s">
        <v>107</v>
      </c>
      <c r="B120" s="4" t="s">
        <v>128</v>
      </c>
      <c r="C120" s="1" t="s">
        <v>10</v>
      </c>
      <c r="D120" s="1" t="s">
        <v>10</v>
      </c>
      <c r="E120" s="1" t="s">
        <v>10</v>
      </c>
      <c r="F120" s="4" t="s">
        <v>11</v>
      </c>
      <c r="G120" s="4" t="s">
        <v>12</v>
      </c>
      <c r="H120" s="5" t="s">
        <v>109</v>
      </c>
    </row>
    <row r="121" ht="22.5" customHeight="1">
      <c r="A121" s="4" t="s">
        <v>107</v>
      </c>
      <c r="B121" s="4" t="s">
        <v>113</v>
      </c>
      <c r="C121" s="1" t="s">
        <v>10</v>
      </c>
      <c r="D121" s="1" t="s">
        <v>10</v>
      </c>
      <c r="E121" s="1" t="s">
        <v>10</v>
      </c>
      <c r="F121" s="4" t="s">
        <v>11</v>
      </c>
      <c r="G121" s="4" t="s">
        <v>12</v>
      </c>
      <c r="H121" s="5" t="s">
        <v>109</v>
      </c>
    </row>
    <row r="122" ht="22.5" customHeight="1">
      <c r="A122" s="4" t="s">
        <v>107</v>
      </c>
      <c r="B122" s="4" t="s">
        <v>113</v>
      </c>
      <c r="C122" s="1" t="s">
        <v>10</v>
      </c>
      <c r="D122" s="1" t="s">
        <v>10</v>
      </c>
      <c r="E122" s="1" t="s">
        <v>10</v>
      </c>
      <c r="F122" s="4" t="s">
        <v>11</v>
      </c>
      <c r="G122" s="4" t="s">
        <v>12</v>
      </c>
      <c r="H122" s="5" t="s">
        <v>109</v>
      </c>
    </row>
    <row r="123" ht="22.5" customHeight="1">
      <c r="A123" s="4" t="s">
        <v>107</v>
      </c>
      <c r="B123" s="4" t="s">
        <v>129</v>
      </c>
      <c r="C123" s="1" t="s">
        <v>10</v>
      </c>
      <c r="D123" s="1" t="s">
        <v>10</v>
      </c>
      <c r="E123" s="1" t="s">
        <v>10</v>
      </c>
      <c r="F123" s="4" t="s">
        <v>11</v>
      </c>
      <c r="G123" s="4" t="s">
        <v>12</v>
      </c>
      <c r="H123" s="5" t="s">
        <v>109</v>
      </c>
    </row>
    <row r="124" ht="22.5" customHeight="1">
      <c r="A124" s="4" t="s">
        <v>107</v>
      </c>
      <c r="B124" s="4" t="s">
        <v>130</v>
      </c>
      <c r="C124" s="1" t="s">
        <v>10</v>
      </c>
      <c r="D124" s="1" t="s">
        <v>10</v>
      </c>
      <c r="E124" s="1" t="s">
        <v>10</v>
      </c>
      <c r="F124" s="4" t="s">
        <v>11</v>
      </c>
      <c r="G124" s="4" t="s">
        <v>12</v>
      </c>
      <c r="H124" s="5" t="s">
        <v>109</v>
      </c>
    </row>
    <row r="125" ht="22.5" customHeight="1">
      <c r="A125" s="4" t="s">
        <v>107</v>
      </c>
      <c r="B125" s="4" t="s">
        <v>131</v>
      </c>
      <c r="C125" s="1" t="s">
        <v>10</v>
      </c>
      <c r="D125" s="1" t="s">
        <v>10</v>
      </c>
      <c r="E125" s="1" t="s">
        <v>10</v>
      </c>
      <c r="F125" s="4" t="s">
        <v>11</v>
      </c>
      <c r="G125" s="4" t="s">
        <v>12</v>
      </c>
      <c r="H125" s="5" t="s">
        <v>109</v>
      </c>
    </row>
    <row r="126" ht="22.5" customHeight="1">
      <c r="A126" s="4" t="s">
        <v>107</v>
      </c>
      <c r="B126" s="4" t="s">
        <v>132</v>
      </c>
      <c r="C126" s="1" t="s">
        <v>10</v>
      </c>
      <c r="D126" s="1" t="s">
        <v>10</v>
      </c>
      <c r="E126" s="1" t="s">
        <v>10</v>
      </c>
      <c r="F126" s="4" t="s">
        <v>11</v>
      </c>
      <c r="G126" s="4" t="s">
        <v>12</v>
      </c>
      <c r="H126" s="5" t="s">
        <v>109</v>
      </c>
    </row>
    <row r="127" ht="22.5" customHeight="1">
      <c r="A127" s="4" t="s">
        <v>107</v>
      </c>
      <c r="B127" s="4" t="s">
        <v>127</v>
      </c>
      <c r="C127" s="1" t="s">
        <v>10</v>
      </c>
      <c r="D127" s="1" t="s">
        <v>10</v>
      </c>
      <c r="E127" s="1" t="s">
        <v>10</v>
      </c>
      <c r="F127" s="4" t="s">
        <v>11</v>
      </c>
      <c r="G127" s="4" t="s">
        <v>12</v>
      </c>
      <c r="H127" s="5" t="s">
        <v>109</v>
      </c>
    </row>
    <row r="128" ht="22.5" customHeight="1">
      <c r="A128" s="4" t="s">
        <v>107</v>
      </c>
      <c r="B128" s="4" t="s">
        <v>133</v>
      </c>
      <c r="C128" s="1" t="s">
        <v>10</v>
      </c>
      <c r="D128" s="1" t="s">
        <v>10</v>
      </c>
      <c r="E128" s="1" t="s">
        <v>10</v>
      </c>
      <c r="F128" s="4" t="s">
        <v>11</v>
      </c>
      <c r="G128" s="4" t="s">
        <v>12</v>
      </c>
      <c r="H128" s="5" t="s">
        <v>109</v>
      </c>
    </row>
    <row r="129" ht="22.5" customHeight="1">
      <c r="A129" s="4" t="s">
        <v>107</v>
      </c>
      <c r="B129" s="4" t="s">
        <v>134</v>
      </c>
      <c r="C129" s="1" t="s">
        <v>10</v>
      </c>
      <c r="D129" s="1" t="s">
        <v>10</v>
      </c>
      <c r="E129" s="1" t="s">
        <v>10</v>
      </c>
      <c r="F129" s="4" t="s">
        <v>11</v>
      </c>
      <c r="G129" s="4" t="s">
        <v>12</v>
      </c>
      <c r="H129" s="5" t="s">
        <v>109</v>
      </c>
    </row>
    <row r="130" ht="22.5" customHeight="1">
      <c r="A130" s="4" t="s">
        <v>107</v>
      </c>
      <c r="B130" s="4" t="s">
        <v>120</v>
      </c>
      <c r="C130" s="1" t="s">
        <v>10</v>
      </c>
      <c r="D130" s="1" t="s">
        <v>10</v>
      </c>
      <c r="E130" s="1" t="s">
        <v>10</v>
      </c>
      <c r="F130" s="4" t="s">
        <v>11</v>
      </c>
      <c r="G130" s="4" t="s">
        <v>12</v>
      </c>
      <c r="H130" s="5" t="s">
        <v>109</v>
      </c>
    </row>
    <row r="131" ht="22.5" customHeight="1">
      <c r="A131" s="4" t="s">
        <v>107</v>
      </c>
      <c r="B131" s="4" t="s">
        <v>135</v>
      </c>
      <c r="C131" s="1" t="s">
        <v>10</v>
      </c>
      <c r="D131" s="1" t="s">
        <v>10</v>
      </c>
      <c r="E131" s="1" t="s">
        <v>10</v>
      </c>
      <c r="F131" s="4" t="s">
        <v>11</v>
      </c>
      <c r="G131" s="4" t="s">
        <v>12</v>
      </c>
      <c r="H131" s="5" t="s">
        <v>109</v>
      </c>
    </row>
    <row r="132" ht="22.5" customHeight="1">
      <c r="A132" s="4" t="s">
        <v>107</v>
      </c>
      <c r="B132" s="4" t="s">
        <v>136</v>
      </c>
      <c r="C132" s="1" t="s">
        <v>10</v>
      </c>
      <c r="D132" s="1" t="s">
        <v>10</v>
      </c>
      <c r="E132" s="1" t="s">
        <v>10</v>
      </c>
      <c r="F132" s="4" t="s">
        <v>11</v>
      </c>
      <c r="G132" s="4" t="s">
        <v>12</v>
      </c>
      <c r="H132" s="5" t="s">
        <v>109</v>
      </c>
    </row>
    <row r="133" ht="22.5" customHeight="1">
      <c r="A133" s="4" t="s">
        <v>107</v>
      </c>
      <c r="B133" s="4" t="s">
        <v>137</v>
      </c>
      <c r="C133" s="1" t="s">
        <v>10</v>
      </c>
      <c r="D133" s="1" t="s">
        <v>10</v>
      </c>
      <c r="E133" s="1" t="s">
        <v>10</v>
      </c>
      <c r="F133" s="4" t="s">
        <v>11</v>
      </c>
      <c r="G133" s="4" t="s">
        <v>12</v>
      </c>
      <c r="H133" s="5" t="s">
        <v>109</v>
      </c>
    </row>
    <row r="134" ht="22.5" customHeight="1">
      <c r="A134" s="4" t="s">
        <v>107</v>
      </c>
      <c r="B134" s="4" t="s">
        <v>138</v>
      </c>
      <c r="C134" s="1" t="s">
        <v>10</v>
      </c>
      <c r="D134" s="1" t="s">
        <v>10</v>
      </c>
      <c r="E134" s="1" t="s">
        <v>10</v>
      </c>
      <c r="F134" s="4" t="s">
        <v>11</v>
      </c>
      <c r="G134" s="4" t="s">
        <v>12</v>
      </c>
      <c r="H134" s="5" t="s">
        <v>109</v>
      </c>
    </row>
    <row r="135" ht="22.5" customHeight="1">
      <c r="A135" s="4" t="s">
        <v>107</v>
      </c>
      <c r="B135" s="4" t="s">
        <v>134</v>
      </c>
      <c r="C135" s="1" t="s">
        <v>10</v>
      </c>
      <c r="D135" s="1" t="s">
        <v>10</v>
      </c>
      <c r="E135" s="1" t="s">
        <v>10</v>
      </c>
      <c r="F135" s="4" t="s">
        <v>11</v>
      </c>
      <c r="G135" s="4" t="s">
        <v>12</v>
      </c>
      <c r="H135" s="5" t="s">
        <v>109</v>
      </c>
    </row>
    <row r="136" ht="22.5" customHeight="1">
      <c r="A136" s="4" t="s">
        <v>107</v>
      </c>
      <c r="B136" s="4" t="s">
        <v>139</v>
      </c>
      <c r="C136" s="1" t="s">
        <v>10</v>
      </c>
      <c r="D136" s="1" t="s">
        <v>10</v>
      </c>
      <c r="E136" s="1" t="s">
        <v>10</v>
      </c>
      <c r="F136" s="4" t="s">
        <v>11</v>
      </c>
      <c r="G136" s="4" t="s">
        <v>12</v>
      </c>
      <c r="H136" s="5" t="s">
        <v>109</v>
      </c>
    </row>
    <row r="137" ht="22.5" customHeight="1">
      <c r="A137" s="4" t="s">
        <v>107</v>
      </c>
      <c r="B137" s="4" t="s">
        <v>140</v>
      </c>
      <c r="C137" s="1" t="s">
        <v>10</v>
      </c>
      <c r="D137" s="1" t="s">
        <v>10</v>
      </c>
      <c r="E137" s="1" t="s">
        <v>10</v>
      </c>
      <c r="F137" s="4" t="s">
        <v>11</v>
      </c>
      <c r="G137" s="4" t="s">
        <v>12</v>
      </c>
      <c r="H137" s="5" t="s">
        <v>109</v>
      </c>
    </row>
    <row r="138" ht="22.5" customHeight="1">
      <c r="A138" s="4" t="s">
        <v>107</v>
      </c>
      <c r="B138" s="4" t="s">
        <v>141</v>
      </c>
      <c r="C138" s="1" t="s">
        <v>10</v>
      </c>
      <c r="D138" s="1" t="s">
        <v>10</v>
      </c>
      <c r="E138" s="1" t="s">
        <v>10</v>
      </c>
      <c r="F138" s="4" t="s">
        <v>11</v>
      </c>
      <c r="G138" s="4" t="s">
        <v>12</v>
      </c>
      <c r="H138" s="5" t="s">
        <v>109</v>
      </c>
    </row>
    <row r="139" ht="22.5" customHeight="1">
      <c r="A139" s="4" t="s">
        <v>107</v>
      </c>
      <c r="B139" s="4" t="s">
        <v>134</v>
      </c>
      <c r="C139" s="1" t="s">
        <v>10</v>
      </c>
      <c r="D139" s="1" t="s">
        <v>10</v>
      </c>
      <c r="E139" s="1" t="s">
        <v>10</v>
      </c>
      <c r="F139" s="4" t="s">
        <v>11</v>
      </c>
      <c r="G139" s="4" t="s">
        <v>12</v>
      </c>
      <c r="H139" s="5" t="s">
        <v>109</v>
      </c>
    </row>
    <row r="140" ht="22.5" customHeight="1">
      <c r="A140" s="4" t="s">
        <v>107</v>
      </c>
      <c r="B140" s="4" t="s">
        <v>142</v>
      </c>
      <c r="C140" s="1" t="s">
        <v>10</v>
      </c>
      <c r="D140" s="1" t="s">
        <v>10</v>
      </c>
      <c r="E140" s="1" t="s">
        <v>10</v>
      </c>
      <c r="F140" s="4" t="s">
        <v>11</v>
      </c>
      <c r="G140" s="4" t="s">
        <v>12</v>
      </c>
      <c r="H140" s="5" t="s">
        <v>109</v>
      </c>
    </row>
    <row r="141" ht="22.5" customHeight="1">
      <c r="A141" s="7" t="s">
        <v>143</v>
      </c>
      <c r="B141" s="7" t="s">
        <v>144</v>
      </c>
      <c r="C141" s="8" t="s">
        <v>145</v>
      </c>
      <c r="D141" s="9" t="str">
        <f t="shared" ref="D141:D222" si="1">TRIM(LEFT($C141, FIND("-", $C141)-1))</f>
        <v>$164,200.00</v>
      </c>
      <c r="E141" s="9" t="str">
        <f t="shared" ref="E141:E222" si="2">TRIM(MID($C141, FIND("-", $C141)+1, LEN($C141)))</f>
        <v>$273,600.00</v>
      </c>
      <c r="F141" s="7" t="s">
        <v>146</v>
      </c>
      <c r="G141" s="5" t="s">
        <v>147</v>
      </c>
      <c r="H141" s="5" t="s">
        <v>148</v>
      </c>
    </row>
    <row r="142" ht="22.5" customHeight="1">
      <c r="A142" s="7" t="s">
        <v>143</v>
      </c>
      <c r="B142" s="4" t="s">
        <v>149</v>
      </c>
      <c r="C142" s="8" t="s">
        <v>150</v>
      </c>
      <c r="D142" s="9" t="str">
        <f t="shared" si="1"/>
        <v>$105,800.00</v>
      </c>
      <c r="E142" s="9" t="str">
        <f t="shared" si="2"/>
        <v>$176,300.00</v>
      </c>
      <c r="F142" s="7" t="s">
        <v>146</v>
      </c>
      <c r="G142" s="6" t="s">
        <v>151</v>
      </c>
      <c r="H142" s="5" t="s">
        <v>148</v>
      </c>
    </row>
    <row r="143" ht="22.5" customHeight="1">
      <c r="A143" s="7" t="s">
        <v>143</v>
      </c>
      <c r="B143" s="7" t="s">
        <v>152</v>
      </c>
      <c r="C143" s="8" t="s">
        <v>153</v>
      </c>
      <c r="D143" s="9" t="str">
        <f t="shared" si="1"/>
        <v>$122,500.00</v>
      </c>
      <c r="E143" s="9" t="str">
        <f t="shared" si="2"/>
        <v>$204,100.00</v>
      </c>
      <c r="F143" s="7" t="s">
        <v>146</v>
      </c>
      <c r="G143" s="6" t="s">
        <v>154</v>
      </c>
      <c r="H143" s="5" t="s">
        <v>148</v>
      </c>
    </row>
    <row r="144" ht="22.5" customHeight="1">
      <c r="A144" s="7" t="s">
        <v>143</v>
      </c>
      <c r="B144" s="7" t="s">
        <v>155</v>
      </c>
      <c r="C144" s="8" t="s">
        <v>156</v>
      </c>
      <c r="D144" s="9" t="str">
        <f t="shared" si="1"/>
        <v>$116,600.00</v>
      </c>
      <c r="E144" s="9" t="str">
        <f t="shared" si="2"/>
        <v>$194,400.00</v>
      </c>
      <c r="F144" s="7" t="s">
        <v>146</v>
      </c>
      <c r="G144" s="10" t="s">
        <v>157</v>
      </c>
      <c r="H144" s="5" t="s">
        <v>148</v>
      </c>
    </row>
    <row r="145" ht="22.5" customHeight="1">
      <c r="A145" s="7" t="s">
        <v>143</v>
      </c>
      <c r="B145" s="7" t="s">
        <v>158</v>
      </c>
      <c r="C145" s="8" t="s">
        <v>159</v>
      </c>
      <c r="D145" s="9" t="str">
        <f t="shared" si="1"/>
        <v>$61,900.00</v>
      </c>
      <c r="E145" s="9" t="str">
        <f t="shared" si="2"/>
        <v>$103,100.00</v>
      </c>
      <c r="F145" s="7" t="s">
        <v>146</v>
      </c>
      <c r="G145" s="10" t="s">
        <v>160</v>
      </c>
      <c r="H145" s="5" t="s">
        <v>148</v>
      </c>
    </row>
    <row r="146" ht="22.5" customHeight="1">
      <c r="A146" s="7" t="s">
        <v>143</v>
      </c>
      <c r="B146" s="7" t="s">
        <v>161</v>
      </c>
      <c r="C146" s="8" t="s">
        <v>162</v>
      </c>
      <c r="D146" s="9" t="str">
        <f t="shared" si="1"/>
        <v>$111,100.00</v>
      </c>
      <c r="E146" s="9" t="str">
        <f t="shared" si="2"/>
        <v>$185,100.00</v>
      </c>
      <c r="F146" s="7" t="s">
        <v>146</v>
      </c>
      <c r="G146" s="10" t="s">
        <v>163</v>
      </c>
      <c r="H146" s="5" t="s">
        <v>148</v>
      </c>
    </row>
    <row r="147" ht="22.5" customHeight="1">
      <c r="A147" s="7" t="s">
        <v>143</v>
      </c>
      <c r="B147" s="7" t="s">
        <v>161</v>
      </c>
      <c r="C147" s="8" t="s">
        <v>162</v>
      </c>
      <c r="D147" s="9" t="str">
        <f t="shared" si="1"/>
        <v>$111,100.00</v>
      </c>
      <c r="E147" s="9" t="str">
        <f t="shared" si="2"/>
        <v>$185,100.00</v>
      </c>
      <c r="F147" s="7" t="s">
        <v>146</v>
      </c>
      <c r="G147" s="10" t="s">
        <v>163</v>
      </c>
      <c r="H147" s="5" t="s">
        <v>148</v>
      </c>
    </row>
    <row r="148" ht="22.5" customHeight="1">
      <c r="A148" s="7" t="s">
        <v>143</v>
      </c>
      <c r="B148" s="7" t="s">
        <v>164</v>
      </c>
      <c r="C148" s="8" t="s">
        <v>165</v>
      </c>
      <c r="D148" s="9" t="str">
        <f t="shared" si="1"/>
        <v>$190,100.00</v>
      </c>
      <c r="E148" s="9" t="str">
        <f t="shared" si="2"/>
        <v>$316,800.00</v>
      </c>
      <c r="F148" s="7" t="s">
        <v>146</v>
      </c>
      <c r="G148" s="10" t="s">
        <v>166</v>
      </c>
      <c r="H148" s="5" t="s">
        <v>148</v>
      </c>
    </row>
    <row r="149" ht="22.5" customHeight="1">
      <c r="A149" s="7" t="s">
        <v>143</v>
      </c>
      <c r="B149" s="7" t="s">
        <v>167</v>
      </c>
      <c r="C149" s="8" t="s">
        <v>168</v>
      </c>
      <c r="D149" s="9" t="str">
        <f t="shared" si="1"/>
        <v>$149,000.00</v>
      </c>
      <c r="E149" s="9" t="str">
        <f t="shared" si="2"/>
        <v>$248,300.00</v>
      </c>
      <c r="F149" s="7" t="s">
        <v>146</v>
      </c>
      <c r="G149" s="10" t="s">
        <v>169</v>
      </c>
      <c r="H149" s="5" t="s">
        <v>148</v>
      </c>
    </row>
    <row r="150" ht="22.5" customHeight="1">
      <c r="A150" s="7" t="s">
        <v>143</v>
      </c>
      <c r="B150" s="7" t="s">
        <v>170</v>
      </c>
      <c r="C150" s="8" t="s">
        <v>171</v>
      </c>
      <c r="D150" s="9" t="str">
        <f t="shared" si="1"/>
        <v>$181,000.00</v>
      </c>
      <c r="E150" s="9" t="str">
        <f t="shared" si="2"/>
        <v>$301,600.00</v>
      </c>
      <c r="F150" s="7" t="s">
        <v>146</v>
      </c>
      <c r="G150" s="10" t="s">
        <v>172</v>
      </c>
      <c r="H150" s="5" t="s">
        <v>148</v>
      </c>
    </row>
    <row r="151" ht="22.5" customHeight="1">
      <c r="A151" s="7" t="s">
        <v>143</v>
      </c>
      <c r="B151" s="7" t="s">
        <v>173</v>
      </c>
      <c r="C151" s="11" t="s">
        <v>168</v>
      </c>
      <c r="D151" s="9" t="str">
        <f t="shared" si="1"/>
        <v>$149,000.00</v>
      </c>
      <c r="E151" s="9" t="str">
        <f t="shared" si="2"/>
        <v>$248,300.00</v>
      </c>
      <c r="F151" s="7" t="s">
        <v>146</v>
      </c>
      <c r="G151" s="10" t="s">
        <v>174</v>
      </c>
      <c r="H151" s="5" t="s">
        <v>148</v>
      </c>
    </row>
    <row r="152" ht="22.5" customHeight="1">
      <c r="A152" s="7" t="s">
        <v>143</v>
      </c>
      <c r="B152" s="7" t="s">
        <v>175</v>
      </c>
      <c r="C152" s="8" t="s">
        <v>162</v>
      </c>
      <c r="D152" s="9" t="str">
        <f t="shared" si="1"/>
        <v>$111,100.00</v>
      </c>
      <c r="E152" s="9" t="str">
        <f t="shared" si="2"/>
        <v>$185,100.00</v>
      </c>
      <c r="F152" s="7" t="s">
        <v>146</v>
      </c>
      <c r="G152" s="10" t="s">
        <v>176</v>
      </c>
      <c r="H152" s="5" t="s">
        <v>148</v>
      </c>
    </row>
    <row r="153" ht="22.5" customHeight="1">
      <c r="A153" s="7" t="s">
        <v>143</v>
      </c>
      <c r="B153" s="7" t="s">
        <v>177</v>
      </c>
      <c r="C153" s="8" t="s">
        <v>178</v>
      </c>
      <c r="D153" s="9" t="str">
        <f t="shared" si="1"/>
        <v>$141,800.00</v>
      </c>
      <c r="E153" s="9" t="str">
        <f t="shared" si="2"/>
        <v>$236,400.00</v>
      </c>
      <c r="F153" s="7" t="s">
        <v>146</v>
      </c>
      <c r="G153" s="10" t="s">
        <v>179</v>
      </c>
      <c r="H153" s="5" t="s">
        <v>148</v>
      </c>
    </row>
    <row r="154" ht="22.5" customHeight="1">
      <c r="A154" s="7" t="s">
        <v>143</v>
      </c>
      <c r="B154" s="7" t="s">
        <v>180</v>
      </c>
      <c r="C154" s="8" t="s">
        <v>178</v>
      </c>
      <c r="D154" s="9" t="str">
        <f t="shared" si="1"/>
        <v>$141,800.00</v>
      </c>
      <c r="E154" s="9" t="str">
        <f t="shared" si="2"/>
        <v>$236,400.00</v>
      </c>
      <c r="F154" s="7" t="s">
        <v>146</v>
      </c>
      <c r="G154" s="10" t="s">
        <v>181</v>
      </c>
      <c r="H154" s="5" t="s">
        <v>148</v>
      </c>
    </row>
    <row r="155" ht="22.5" customHeight="1">
      <c r="A155" s="7" t="s">
        <v>143</v>
      </c>
      <c r="B155" s="7" t="s">
        <v>182</v>
      </c>
      <c r="C155" s="8" t="s">
        <v>178</v>
      </c>
      <c r="D155" s="9" t="str">
        <f t="shared" si="1"/>
        <v>$141,800.00</v>
      </c>
      <c r="E155" s="9" t="str">
        <f t="shared" si="2"/>
        <v>$236,400.00</v>
      </c>
      <c r="F155" s="7" t="s">
        <v>146</v>
      </c>
      <c r="G155" s="10" t="s">
        <v>183</v>
      </c>
      <c r="H155" s="5" t="s">
        <v>148</v>
      </c>
    </row>
    <row r="156" ht="22.5" customHeight="1">
      <c r="A156" s="7" t="s">
        <v>143</v>
      </c>
      <c r="B156" s="7" t="s">
        <v>184</v>
      </c>
      <c r="C156" s="8" t="s">
        <v>185</v>
      </c>
      <c r="D156" s="9" t="str">
        <f t="shared" si="1"/>
        <v>$95,900.00</v>
      </c>
      <c r="E156" s="9" t="str">
        <f t="shared" si="2"/>
        <v>$159,900.00</v>
      </c>
      <c r="F156" s="7" t="s">
        <v>146</v>
      </c>
      <c r="G156" s="10" t="s">
        <v>186</v>
      </c>
      <c r="H156" s="5" t="s">
        <v>148</v>
      </c>
    </row>
    <row r="157" ht="22.5" customHeight="1">
      <c r="A157" s="7" t="s">
        <v>143</v>
      </c>
      <c r="B157" s="7" t="s">
        <v>187</v>
      </c>
      <c r="C157" s="8" t="s">
        <v>153</v>
      </c>
      <c r="D157" s="9" t="str">
        <f t="shared" si="1"/>
        <v>$122,500.00</v>
      </c>
      <c r="E157" s="9" t="str">
        <f t="shared" si="2"/>
        <v>$204,100.00</v>
      </c>
      <c r="F157" s="7" t="s">
        <v>146</v>
      </c>
      <c r="G157" s="10" t="s">
        <v>188</v>
      </c>
      <c r="H157" s="5" t="s">
        <v>148</v>
      </c>
    </row>
    <row r="158" ht="22.5" customHeight="1">
      <c r="A158" s="7" t="s">
        <v>143</v>
      </c>
      <c r="B158" s="7" t="s">
        <v>189</v>
      </c>
      <c r="C158" s="8" t="s">
        <v>153</v>
      </c>
      <c r="D158" s="9" t="str">
        <f t="shared" si="1"/>
        <v>$122,500.00</v>
      </c>
      <c r="E158" s="9" t="str">
        <f t="shared" si="2"/>
        <v>$204,100.00</v>
      </c>
      <c r="F158" s="7" t="s">
        <v>146</v>
      </c>
      <c r="G158" s="10" t="s">
        <v>190</v>
      </c>
      <c r="H158" s="5" t="s">
        <v>148</v>
      </c>
    </row>
    <row r="159" ht="22.5" customHeight="1">
      <c r="A159" s="7" t="s">
        <v>143</v>
      </c>
      <c r="B159" s="7" t="s">
        <v>191</v>
      </c>
      <c r="C159" s="8" t="s">
        <v>192</v>
      </c>
      <c r="D159" s="9" t="str">
        <f t="shared" si="1"/>
        <v>$172,400.00</v>
      </c>
      <c r="E159" s="9" t="str">
        <f t="shared" si="2"/>
        <v>$287,300.00</v>
      </c>
      <c r="F159" s="7" t="s">
        <v>146</v>
      </c>
      <c r="G159" s="10" t="s">
        <v>193</v>
      </c>
      <c r="H159" s="5" t="s">
        <v>148</v>
      </c>
    </row>
    <row r="160" ht="22.5" customHeight="1">
      <c r="A160" s="7" t="s">
        <v>143</v>
      </c>
      <c r="B160" s="7" t="s">
        <v>194</v>
      </c>
      <c r="C160" s="8" t="s">
        <v>185</v>
      </c>
      <c r="D160" s="9" t="str">
        <f t="shared" si="1"/>
        <v>$95,900.00</v>
      </c>
      <c r="E160" s="9" t="str">
        <f t="shared" si="2"/>
        <v>$159,900.00</v>
      </c>
      <c r="F160" s="7" t="s">
        <v>146</v>
      </c>
      <c r="G160" s="10" t="s">
        <v>195</v>
      </c>
      <c r="H160" s="5" t="s">
        <v>148</v>
      </c>
    </row>
    <row r="161" ht="22.5" customHeight="1">
      <c r="A161" s="7" t="s">
        <v>143</v>
      </c>
      <c r="B161" s="7" t="s">
        <v>161</v>
      </c>
      <c r="C161" s="8" t="s">
        <v>162</v>
      </c>
      <c r="D161" s="9" t="str">
        <f t="shared" si="1"/>
        <v>$111,100.00</v>
      </c>
      <c r="E161" s="9" t="str">
        <f t="shared" si="2"/>
        <v>$185,100.00</v>
      </c>
      <c r="F161" s="7" t="s">
        <v>146</v>
      </c>
      <c r="G161" s="10" t="s">
        <v>196</v>
      </c>
      <c r="H161" s="5" t="s">
        <v>148</v>
      </c>
    </row>
    <row r="162" ht="22.5" customHeight="1">
      <c r="A162" s="7" t="s">
        <v>143</v>
      </c>
      <c r="B162" s="7" t="s">
        <v>197</v>
      </c>
      <c r="C162" s="8" t="s">
        <v>198</v>
      </c>
      <c r="D162" s="9" t="str">
        <f t="shared" si="1"/>
        <v>$156,400.00</v>
      </c>
      <c r="E162" s="9" t="str">
        <f t="shared" si="2"/>
        <v>$260,600.00</v>
      </c>
      <c r="F162" s="7" t="s">
        <v>146</v>
      </c>
      <c r="G162" s="10" t="s">
        <v>199</v>
      </c>
      <c r="H162" s="5" t="s">
        <v>148</v>
      </c>
    </row>
    <row r="163" ht="22.5" customHeight="1">
      <c r="A163" s="7" t="s">
        <v>143</v>
      </c>
      <c r="B163" s="7" t="s">
        <v>200</v>
      </c>
      <c r="C163" s="8" t="s">
        <v>153</v>
      </c>
      <c r="D163" s="9" t="str">
        <f t="shared" si="1"/>
        <v>$122,500.00</v>
      </c>
      <c r="E163" s="9" t="str">
        <f t="shared" si="2"/>
        <v>$204,100.00</v>
      </c>
      <c r="F163" s="7" t="s">
        <v>146</v>
      </c>
      <c r="G163" s="10" t="s">
        <v>201</v>
      </c>
      <c r="H163" s="5" t="s">
        <v>148</v>
      </c>
    </row>
    <row r="164" ht="22.5" customHeight="1">
      <c r="A164" s="7" t="s">
        <v>143</v>
      </c>
      <c r="B164" s="7" t="s">
        <v>161</v>
      </c>
      <c r="C164" s="8" t="s">
        <v>162</v>
      </c>
      <c r="D164" s="9" t="str">
        <f t="shared" si="1"/>
        <v>$111,100.00</v>
      </c>
      <c r="E164" s="9" t="str">
        <f t="shared" si="2"/>
        <v>$185,100.00</v>
      </c>
      <c r="F164" s="7" t="s">
        <v>146</v>
      </c>
      <c r="G164" s="10" t="s">
        <v>202</v>
      </c>
      <c r="H164" s="5" t="s">
        <v>148</v>
      </c>
    </row>
    <row r="165" ht="22.5" customHeight="1">
      <c r="A165" s="7" t="s">
        <v>143</v>
      </c>
      <c r="B165" s="7" t="s">
        <v>161</v>
      </c>
      <c r="C165" s="8" t="s">
        <v>156</v>
      </c>
      <c r="D165" s="9" t="str">
        <f t="shared" si="1"/>
        <v>$116,600.00</v>
      </c>
      <c r="E165" s="9" t="str">
        <f t="shared" si="2"/>
        <v>$194,400.00</v>
      </c>
      <c r="F165" s="7" t="s">
        <v>146</v>
      </c>
      <c r="G165" s="10" t="s">
        <v>203</v>
      </c>
      <c r="H165" s="5" t="s">
        <v>148</v>
      </c>
    </row>
    <row r="166" ht="22.5" customHeight="1">
      <c r="A166" s="7" t="s">
        <v>143</v>
      </c>
      <c r="B166" s="7" t="s">
        <v>204</v>
      </c>
      <c r="C166" s="8" t="s">
        <v>145</v>
      </c>
      <c r="D166" s="9" t="str">
        <f t="shared" si="1"/>
        <v>$164,200.00</v>
      </c>
      <c r="E166" s="9" t="str">
        <f t="shared" si="2"/>
        <v>$273,600.00</v>
      </c>
      <c r="F166" s="7" t="s">
        <v>146</v>
      </c>
      <c r="G166" s="10" t="s">
        <v>205</v>
      </c>
      <c r="H166" s="5" t="s">
        <v>148</v>
      </c>
    </row>
    <row r="167" ht="22.5" customHeight="1">
      <c r="A167" s="7" t="s">
        <v>143</v>
      </c>
      <c r="B167" s="7" t="s">
        <v>206</v>
      </c>
      <c r="C167" s="8" t="s">
        <v>207</v>
      </c>
      <c r="D167" s="9" t="str">
        <f t="shared" si="1"/>
        <v>$128,600.00</v>
      </c>
      <c r="E167" s="9" t="str">
        <f t="shared" si="2"/>
        <v>$214,400.00</v>
      </c>
      <c r="F167" s="7" t="s">
        <v>146</v>
      </c>
      <c r="G167" s="10" t="s">
        <v>208</v>
      </c>
      <c r="H167" s="5" t="s">
        <v>148</v>
      </c>
    </row>
    <row r="168" ht="22.5" customHeight="1">
      <c r="A168" s="7" t="s">
        <v>143</v>
      </c>
      <c r="B168" s="7" t="s">
        <v>209</v>
      </c>
      <c r="C168" s="8" t="s">
        <v>207</v>
      </c>
      <c r="D168" s="9" t="str">
        <f t="shared" si="1"/>
        <v>$128,600.00</v>
      </c>
      <c r="E168" s="9" t="str">
        <f t="shared" si="2"/>
        <v>$214,400.00</v>
      </c>
      <c r="F168" s="7" t="s">
        <v>146</v>
      </c>
      <c r="G168" s="10" t="s">
        <v>210</v>
      </c>
      <c r="H168" s="5" t="s">
        <v>148</v>
      </c>
    </row>
    <row r="169" ht="22.5" customHeight="1">
      <c r="A169" s="7" t="s">
        <v>143</v>
      </c>
      <c r="B169" s="7" t="s">
        <v>211</v>
      </c>
      <c r="C169" s="8" t="s">
        <v>168</v>
      </c>
      <c r="D169" s="9" t="str">
        <f t="shared" si="1"/>
        <v>$149,000.00</v>
      </c>
      <c r="E169" s="9" t="str">
        <f t="shared" si="2"/>
        <v>$248,300.00</v>
      </c>
      <c r="F169" s="7" t="s">
        <v>146</v>
      </c>
      <c r="G169" s="10" t="s">
        <v>212</v>
      </c>
      <c r="H169" s="5" t="s">
        <v>148</v>
      </c>
    </row>
    <row r="170" ht="22.5" customHeight="1">
      <c r="A170" s="7" t="s">
        <v>143</v>
      </c>
      <c r="B170" s="7" t="s">
        <v>213</v>
      </c>
      <c r="C170" s="8" t="s">
        <v>178</v>
      </c>
      <c r="D170" s="9" t="str">
        <f t="shared" si="1"/>
        <v>$141,800.00</v>
      </c>
      <c r="E170" s="9" t="str">
        <f t="shared" si="2"/>
        <v>$236,400.00</v>
      </c>
      <c r="F170" s="7" t="s">
        <v>146</v>
      </c>
      <c r="G170" s="10" t="s">
        <v>214</v>
      </c>
      <c r="H170" s="5" t="s">
        <v>148</v>
      </c>
    </row>
    <row r="171" ht="22.5" customHeight="1">
      <c r="A171" s="7" t="s">
        <v>143</v>
      </c>
      <c r="B171" s="7" t="s">
        <v>215</v>
      </c>
      <c r="C171" s="8" t="s">
        <v>216</v>
      </c>
      <c r="D171" s="9" t="str">
        <f t="shared" si="1"/>
        <v>$135,100.00</v>
      </c>
      <c r="E171" s="9" t="str">
        <f t="shared" si="2"/>
        <v>$225,100.00</v>
      </c>
      <c r="F171" s="7" t="s">
        <v>146</v>
      </c>
      <c r="G171" s="10" t="s">
        <v>217</v>
      </c>
      <c r="H171" s="5" t="s">
        <v>148</v>
      </c>
    </row>
    <row r="172" ht="22.5" customHeight="1">
      <c r="A172" s="7" t="s">
        <v>143</v>
      </c>
      <c r="B172" s="7" t="s">
        <v>218</v>
      </c>
      <c r="C172" s="8" t="s">
        <v>168</v>
      </c>
      <c r="D172" s="9" t="str">
        <f t="shared" si="1"/>
        <v>$149,000.00</v>
      </c>
      <c r="E172" s="9" t="str">
        <f t="shared" si="2"/>
        <v>$248,300.00</v>
      </c>
      <c r="F172" s="7" t="s">
        <v>146</v>
      </c>
      <c r="G172" s="10" t="s">
        <v>219</v>
      </c>
      <c r="H172" s="5" t="s">
        <v>148</v>
      </c>
    </row>
    <row r="173" ht="22.5" customHeight="1">
      <c r="A173" s="7" t="s">
        <v>143</v>
      </c>
      <c r="B173" s="7" t="s">
        <v>220</v>
      </c>
      <c r="C173" s="11" t="s">
        <v>153</v>
      </c>
      <c r="D173" s="9" t="str">
        <f t="shared" si="1"/>
        <v>$122,500.00</v>
      </c>
      <c r="E173" s="9" t="str">
        <f t="shared" si="2"/>
        <v>$204,100.00</v>
      </c>
      <c r="F173" s="7" t="s">
        <v>146</v>
      </c>
      <c r="G173" s="10" t="s">
        <v>221</v>
      </c>
      <c r="H173" s="5" t="s">
        <v>148</v>
      </c>
    </row>
    <row r="174" ht="22.5" customHeight="1">
      <c r="A174" s="7" t="s">
        <v>143</v>
      </c>
      <c r="B174" s="7" t="s">
        <v>222</v>
      </c>
      <c r="C174" s="8" t="s">
        <v>156</v>
      </c>
      <c r="D174" s="9" t="str">
        <f t="shared" si="1"/>
        <v>$116,600.00</v>
      </c>
      <c r="E174" s="9" t="str">
        <f t="shared" si="2"/>
        <v>$194,400.00</v>
      </c>
      <c r="F174" s="7" t="s">
        <v>146</v>
      </c>
      <c r="G174" s="10" t="s">
        <v>223</v>
      </c>
      <c r="H174" s="5" t="s">
        <v>148</v>
      </c>
    </row>
    <row r="175" ht="22.5" customHeight="1">
      <c r="A175" s="7" t="s">
        <v>143</v>
      </c>
      <c r="B175" s="7" t="s">
        <v>194</v>
      </c>
      <c r="C175" s="8" t="s">
        <v>185</v>
      </c>
      <c r="D175" s="9" t="str">
        <f t="shared" si="1"/>
        <v>$95,900.00</v>
      </c>
      <c r="E175" s="9" t="str">
        <f t="shared" si="2"/>
        <v>$159,900.00</v>
      </c>
      <c r="F175" s="7" t="s">
        <v>146</v>
      </c>
      <c r="G175" s="10" t="s">
        <v>224</v>
      </c>
      <c r="H175" s="5" t="s">
        <v>148</v>
      </c>
    </row>
    <row r="176" ht="22.5" customHeight="1">
      <c r="A176" s="7" t="s">
        <v>143</v>
      </c>
      <c r="B176" s="7" t="s">
        <v>225</v>
      </c>
      <c r="C176" s="8" t="s">
        <v>150</v>
      </c>
      <c r="D176" s="9" t="str">
        <f t="shared" si="1"/>
        <v>$105,800.00</v>
      </c>
      <c r="E176" s="9" t="str">
        <f t="shared" si="2"/>
        <v>$176,300.00</v>
      </c>
      <c r="F176" s="7" t="s">
        <v>146</v>
      </c>
      <c r="G176" s="10" t="s">
        <v>226</v>
      </c>
      <c r="H176" s="5" t="s">
        <v>148</v>
      </c>
    </row>
    <row r="177" ht="22.5" customHeight="1">
      <c r="A177" s="7" t="s">
        <v>143</v>
      </c>
      <c r="B177" s="7" t="s">
        <v>158</v>
      </c>
      <c r="C177" s="8" t="s">
        <v>159</v>
      </c>
      <c r="D177" s="9" t="str">
        <f t="shared" si="1"/>
        <v>$61,900.00</v>
      </c>
      <c r="E177" s="9" t="str">
        <f t="shared" si="2"/>
        <v>$103,100.00</v>
      </c>
      <c r="F177" s="7" t="s">
        <v>146</v>
      </c>
      <c r="G177" s="10" t="s">
        <v>227</v>
      </c>
      <c r="H177" s="5" t="s">
        <v>148</v>
      </c>
    </row>
    <row r="178" ht="22.5" customHeight="1">
      <c r="A178" s="7" t="s">
        <v>143</v>
      </c>
      <c r="B178" s="7" t="s">
        <v>161</v>
      </c>
      <c r="C178" s="8" t="s">
        <v>162</v>
      </c>
      <c r="D178" s="9" t="str">
        <f t="shared" si="1"/>
        <v>$111,100.00</v>
      </c>
      <c r="E178" s="9" t="str">
        <f t="shared" si="2"/>
        <v>$185,100.00</v>
      </c>
      <c r="F178" s="7" t="s">
        <v>146</v>
      </c>
      <c r="G178" s="10" t="s">
        <v>228</v>
      </c>
      <c r="H178" s="5" t="s">
        <v>148</v>
      </c>
    </row>
    <row r="179" ht="22.5" customHeight="1">
      <c r="A179" s="7" t="s">
        <v>143</v>
      </c>
      <c r="B179" s="7" t="s">
        <v>152</v>
      </c>
      <c r="C179" s="8" t="s">
        <v>153</v>
      </c>
      <c r="D179" s="9" t="str">
        <f t="shared" si="1"/>
        <v>$122,500.00</v>
      </c>
      <c r="E179" s="9" t="str">
        <f t="shared" si="2"/>
        <v>$204,100.00</v>
      </c>
      <c r="F179" s="7" t="s">
        <v>146</v>
      </c>
      <c r="G179" s="10" t="s">
        <v>229</v>
      </c>
      <c r="H179" s="5" t="s">
        <v>148</v>
      </c>
    </row>
    <row r="180" ht="22.5" customHeight="1">
      <c r="A180" s="7" t="s">
        <v>143</v>
      </c>
      <c r="B180" s="7" t="s">
        <v>230</v>
      </c>
      <c r="C180" s="8" t="s">
        <v>207</v>
      </c>
      <c r="D180" s="9" t="str">
        <f t="shared" si="1"/>
        <v>$128,600.00</v>
      </c>
      <c r="E180" s="9" t="str">
        <f t="shared" si="2"/>
        <v>$214,400.00</v>
      </c>
      <c r="F180" s="7" t="s">
        <v>146</v>
      </c>
      <c r="G180" s="10" t="s">
        <v>231</v>
      </c>
      <c r="H180" s="5" t="s">
        <v>148</v>
      </c>
    </row>
    <row r="181" ht="22.5" customHeight="1">
      <c r="A181" s="7" t="s">
        <v>143</v>
      </c>
      <c r="B181" s="7" t="s">
        <v>232</v>
      </c>
      <c r="C181" s="8" t="s">
        <v>216</v>
      </c>
      <c r="D181" s="9" t="str">
        <f t="shared" si="1"/>
        <v>$135,100.00</v>
      </c>
      <c r="E181" s="9" t="str">
        <f t="shared" si="2"/>
        <v>$225,100.00</v>
      </c>
      <c r="F181" s="7" t="s">
        <v>146</v>
      </c>
      <c r="G181" s="10" t="s">
        <v>233</v>
      </c>
      <c r="H181" s="5" t="s">
        <v>148</v>
      </c>
    </row>
    <row r="182" ht="22.5" customHeight="1">
      <c r="A182" s="7" t="s">
        <v>143</v>
      </c>
      <c r="B182" s="7" t="s">
        <v>234</v>
      </c>
      <c r="C182" s="8" t="s">
        <v>207</v>
      </c>
      <c r="D182" s="9" t="str">
        <f t="shared" si="1"/>
        <v>$128,600.00</v>
      </c>
      <c r="E182" s="9" t="str">
        <f t="shared" si="2"/>
        <v>$214,400.00</v>
      </c>
      <c r="F182" s="7" t="s">
        <v>146</v>
      </c>
      <c r="G182" s="10" t="s">
        <v>235</v>
      </c>
      <c r="H182" s="5" t="s">
        <v>148</v>
      </c>
    </row>
    <row r="183" ht="22.5" customHeight="1">
      <c r="A183" s="7" t="s">
        <v>143</v>
      </c>
      <c r="B183" s="7" t="s">
        <v>236</v>
      </c>
      <c r="C183" s="8" t="s">
        <v>216</v>
      </c>
      <c r="D183" s="9" t="str">
        <f t="shared" si="1"/>
        <v>$135,100.00</v>
      </c>
      <c r="E183" s="9" t="str">
        <f t="shared" si="2"/>
        <v>$225,100.00</v>
      </c>
      <c r="F183" s="7" t="s">
        <v>146</v>
      </c>
      <c r="G183" s="10" t="s">
        <v>237</v>
      </c>
      <c r="H183" s="5" t="s">
        <v>148</v>
      </c>
    </row>
    <row r="184" ht="22.5" customHeight="1">
      <c r="A184" s="7" t="s">
        <v>143</v>
      </c>
      <c r="B184" s="7" t="s">
        <v>238</v>
      </c>
      <c r="C184" s="8" t="s">
        <v>207</v>
      </c>
      <c r="D184" s="9" t="str">
        <f t="shared" si="1"/>
        <v>$128,600.00</v>
      </c>
      <c r="E184" s="9" t="str">
        <f t="shared" si="2"/>
        <v>$214,400.00</v>
      </c>
      <c r="F184" s="7" t="s">
        <v>146</v>
      </c>
      <c r="G184" s="10" t="s">
        <v>239</v>
      </c>
      <c r="H184" s="5" t="s">
        <v>148</v>
      </c>
    </row>
    <row r="185" ht="22.5" customHeight="1">
      <c r="A185" s="7" t="s">
        <v>143</v>
      </c>
      <c r="B185" s="7" t="s">
        <v>240</v>
      </c>
      <c r="C185" s="8" t="s">
        <v>241</v>
      </c>
      <c r="D185" s="9" t="str">
        <f t="shared" si="1"/>
        <v>$75,200.00</v>
      </c>
      <c r="E185" s="9" t="str">
        <f t="shared" si="2"/>
        <v>$125,300.00</v>
      </c>
      <c r="F185" s="7" t="s">
        <v>146</v>
      </c>
      <c r="G185" s="10" t="s">
        <v>242</v>
      </c>
      <c r="H185" s="5" t="s">
        <v>148</v>
      </c>
    </row>
    <row r="186" ht="22.5" customHeight="1">
      <c r="A186" s="7" t="s">
        <v>143</v>
      </c>
      <c r="B186" s="7" t="s">
        <v>243</v>
      </c>
      <c r="C186" s="8" t="s">
        <v>244</v>
      </c>
      <c r="D186" s="9" t="str">
        <f t="shared" si="1"/>
        <v>$91,400.00</v>
      </c>
      <c r="E186" s="9" t="str">
        <f t="shared" si="2"/>
        <v>$152,300.00</v>
      </c>
      <c r="F186" s="7" t="s">
        <v>146</v>
      </c>
      <c r="G186" s="10" t="s">
        <v>245</v>
      </c>
      <c r="H186" s="5" t="s">
        <v>148</v>
      </c>
    </row>
    <row r="187" ht="22.5" customHeight="1">
      <c r="A187" s="7" t="s">
        <v>143</v>
      </c>
      <c r="B187" s="7" t="s">
        <v>246</v>
      </c>
      <c r="C187" s="8" t="s">
        <v>247</v>
      </c>
      <c r="D187" s="9" t="str">
        <f t="shared" si="1"/>
        <v>$100,700.00</v>
      </c>
      <c r="E187" s="9" t="str">
        <f t="shared" si="2"/>
        <v>$167,900.00</v>
      </c>
      <c r="F187" s="7" t="s">
        <v>146</v>
      </c>
      <c r="G187" s="10" t="s">
        <v>248</v>
      </c>
      <c r="H187" s="5" t="s">
        <v>148</v>
      </c>
    </row>
    <row r="188" ht="22.5" customHeight="1">
      <c r="A188" s="7" t="s">
        <v>143</v>
      </c>
      <c r="B188" s="7" t="s">
        <v>161</v>
      </c>
      <c r="C188" s="8" t="s">
        <v>162</v>
      </c>
      <c r="D188" s="9" t="str">
        <f t="shared" si="1"/>
        <v>$111,100.00</v>
      </c>
      <c r="E188" s="9" t="str">
        <f t="shared" si="2"/>
        <v>$185,100.00</v>
      </c>
      <c r="F188" s="7" t="s">
        <v>146</v>
      </c>
      <c r="G188" s="10" t="s">
        <v>249</v>
      </c>
      <c r="H188" s="5" t="s">
        <v>148</v>
      </c>
    </row>
    <row r="189" ht="22.5" customHeight="1">
      <c r="A189" s="7" t="s">
        <v>143</v>
      </c>
      <c r="B189" s="7" t="s">
        <v>250</v>
      </c>
      <c r="C189" s="8" t="s">
        <v>251</v>
      </c>
      <c r="D189" s="9" t="str">
        <f t="shared" si="1"/>
        <v>$65,000.00</v>
      </c>
      <c r="E189" s="9" t="str">
        <f t="shared" si="2"/>
        <v>$108,300.00</v>
      </c>
      <c r="F189" s="7" t="s">
        <v>146</v>
      </c>
      <c r="G189" s="10" t="s">
        <v>252</v>
      </c>
      <c r="H189" s="5" t="s">
        <v>148</v>
      </c>
    </row>
    <row r="190" ht="22.5" customHeight="1">
      <c r="A190" s="7" t="s">
        <v>143</v>
      </c>
      <c r="B190" s="7" t="s">
        <v>253</v>
      </c>
      <c r="C190" s="8" t="s">
        <v>156</v>
      </c>
      <c r="D190" s="9" t="str">
        <f t="shared" si="1"/>
        <v>$116,600.00</v>
      </c>
      <c r="E190" s="9" t="str">
        <f t="shared" si="2"/>
        <v>$194,400.00</v>
      </c>
      <c r="F190" s="7" t="s">
        <v>146</v>
      </c>
      <c r="G190" s="10" t="s">
        <v>254</v>
      </c>
      <c r="H190" s="5" t="s">
        <v>148</v>
      </c>
    </row>
    <row r="191" ht="22.5" customHeight="1">
      <c r="A191" s="7" t="s">
        <v>143</v>
      </c>
      <c r="B191" s="7" t="s">
        <v>255</v>
      </c>
      <c r="C191" s="8" t="s">
        <v>256</v>
      </c>
      <c r="D191" s="9" t="str">
        <f t="shared" si="1"/>
        <v>$87,000.00</v>
      </c>
      <c r="E191" s="9" t="str">
        <f t="shared" si="2"/>
        <v>$145,000.00</v>
      </c>
      <c r="F191" s="7" t="s">
        <v>146</v>
      </c>
      <c r="G191" s="10" t="s">
        <v>257</v>
      </c>
      <c r="H191" s="5" t="s">
        <v>148</v>
      </c>
    </row>
    <row r="192" ht="22.5" customHeight="1">
      <c r="A192" s="7" t="s">
        <v>143</v>
      </c>
      <c r="B192" s="7" t="s">
        <v>164</v>
      </c>
      <c r="C192" s="8" t="s">
        <v>165</v>
      </c>
      <c r="D192" s="9" t="str">
        <f t="shared" si="1"/>
        <v>$190,100.00</v>
      </c>
      <c r="E192" s="9" t="str">
        <f t="shared" si="2"/>
        <v>$316,800.00</v>
      </c>
      <c r="F192" s="7" t="s">
        <v>146</v>
      </c>
      <c r="G192" s="10" t="s">
        <v>258</v>
      </c>
      <c r="H192" s="5" t="s">
        <v>148</v>
      </c>
    </row>
    <row r="193" ht="22.5" customHeight="1">
      <c r="A193" s="7" t="s">
        <v>143</v>
      </c>
      <c r="B193" s="7" t="s">
        <v>167</v>
      </c>
      <c r="C193" s="8" t="s">
        <v>168</v>
      </c>
      <c r="D193" s="9" t="str">
        <f t="shared" si="1"/>
        <v>$149,000.00</v>
      </c>
      <c r="E193" s="9" t="str">
        <f t="shared" si="2"/>
        <v>$248,300.00</v>
      </c>
      <c r="F193" s="7" t="s">
        <v>146</v>
      </c>
      <c r="G193" s="10" t="s">
        <v>259</v>
      </c>
      <c r="H193" s="5" t="s">
        <v>148</v>
      </c>
    </row>
    <row r="194" ht="22.5" customHeight="1">
      <c r="A194" s="7" t="s">
        <v>143</v>
      </c>
      <c r="B194" s="7" t="s">
        <v>222</v>
      </c>
      <c r="C194" s="8" t="s">
        <v>156</v>
      </c>
      <c r="D194" s="9" t="str">
        <f t="shared" si="1"/>
        <v>$116,600.00</v>
      </c>
      <c r="E194" s="9" t="str">
        <f t="shared" si="2"/>
        <v>$194,400.00</v>
      </c>
      <c r="F194" s="7" t="s">
        <v>146</v>
      </c>
      <c r="G194" s="10" t="s">
        <v>260</v>
      </c>
      <c r="H194" s="5" t="s">
        <v>148</v>
      </c>
    </row>
    <row r="195" ht="22.5" customHeight="1">
      <c r="A195" s="7" t="s">
        <v>143</v>
      </c>
      <c r="B195" s="7" t="s">
        <v>261</v>
      </c>
      <c r="C195" s="8" t="s">
        <v>162</v>
      </c>
      <c r="D195" s="9" t="str">
        <f t="shared" si="1"/>
        <v>$111,100.00</v>
      </c>
      <c r="E195" s="9" t="str">
        <f t="shared" si="2"/>
        <v>$185,100.00</v>
      </c>
      <c r="F195" s="7" t="s">
        <v>146</v>
      </c>
      <c r="G195" s="10" t="s">
        <v>262</v>
      </c>
      <c r="H195" s="5" t="s">
        <v>148</v>
      </c>
    </row>
    <row r="196" ht="22.5" customHeight="1">
      <c r="A196" s="7" t="s">
        <v>143</v>
      </c>
      <c r="B196" s="7" t="s">
        <v>263</v>
      </c>
      <c r="C196" s="8" t="s">
        <v>256</v>
      </c>
      <c r="D196" s="9" t="str">
        <f t="shared" si="1"/>
        <v>$87,000.00</v>
      </c>
      <c r="E196" s="9" t="str">
        <f t="shared" si="2"/>
        <v>$145,000.00</v>
      </c>
      <c r="F196" s="7" t="s">
        <v>146</v>
      </c>
      <c r="G196" s="10" t="s">
        <v>264</v>
      </c>
      <c r="H196" s="5" t="s">
        <v>148</v>
      </c>
    </row>
    <row r="197" ht="22.5" customHeight="1">
      <c r="A197" s="7" t="s">
        <v>143</v>
      </c>
      <c r="B197" s="7" t="s">
        <v>265</v>
      </c>
      <c r="C197" s="8" t="s">
        <v>162</v>
      </c>
      <c r="D197" s="9" t="str">
        <f t="shared" si="1"/>
        <v>$111,100.00</v>
      </c>
      <c r="E197" s="9" t="str">
        <f t="shared" si="2"/>
        <v>$185,100.00</v>
      </c>
      <c r="F197" s="7" t="s">
        <v>146</v>
      </c>
      <c r="G197" s="10" t="s">
        <v>266</v>
      </c>
      <c r="H197" s="5" t="s">
        <v>148</v>
      </c>
    </row>
    <row r="198" ht="22.5" customHeight="1">
      <c r="A198" s="7" t="s">
        <v>143</v>
      </c>
      <c r="B198" s="7" t="s">
        <v>267</v>
      </c>
      <c r="C198" s="8" t="s">
        <v>156</v>
      </c>
      <c r="D198" s="9" t="str">
        <f t="shared" si="1"/>
        <v>$116,600.00</v>
      </c>
      <c r="E198" s="9" t="str">
        <f t="shared" si="2"/>
        <v>$194,400.00</v>
      </c>
      <c r="F198" s="7" t="s">
        <v>146</v>
      </c>
      <c r="G198" s="10" t="s">
        <v>268</v>
      </c>
      <c r="H198" s="5" t="s">
        <v>148</v>
      </c>
    </row>
    <row r="199" ht="22.5" customHeight="1">
      <c r="A199" s="7" t="s">
        <v>143</v>
      </c>
      <c r="B199" s="7" t="s">
        <v>269</v>
      </c>
      <c r="C199" s="8" t="s">
        <v>216</v>
      </c>
      <c r="D199" s="9" t="str">
        <f t="shared" si="1"/>
        <v>$135,100.00</v>
      </c>
      <c r="E199" s="9" t="str">
        <f t="shared" si="2"/>
        <v>$225,100.00</v>
      </c>
      <c r="F199" s="7" t="s">
        <v>146</v>
      </c>
      <c r="G199" s="10" t="s">
        <v>270</v>
      </c>
      <c r="H199" s="5" t="s">
        <v>148</v>
      </c>
    </row>
    <row r="200" ht="22.5" customHeight="1">
      <c r="A200" s="7" t="s">
        <v>143</v>
      </c>
      <c r="B200" s="7" t="s">
        <v>271</v>
      </c>
      <c r="C200" s="8" t="s">
        <v>156</v>
      </c>
      <c r="D200" s="9" t="str">
        <f t="shared" si="1"/>
        <v>$116,600.00</v>
      </c>
      <c r="E200" s="9" t="str">
        <f t="shared" si="2"/>
        <v>$194,400.00</v>
      </c>
      <c r="F200" s="7" t="s">
        <v>146</v>
      </c>
      <c r="G200" s="10" t="s">
        <v>272</v>
      </c>
      <c r="H200" s="5" t="s">
        <v>148</v>
      </c>
    </row>
    <row r="201" ht="22.5" customHeight="1">
      <c r="A201" s="7" t="s">
        <v>143</v>
      </c>
      <c r="B201" s="7" t="s">
        <v>273</v>
      </c>
      <c r="C201" s="8" t="s">
        <v>156</v>
      </c>
      <c r="D201" s="9" t="str">
        <f t="shared" si="1"/>
        <v>$116,600.00</v>
      </c>
      <c r="E201" s="9" t="str">
        <f t="shared" si="2"/>
        <v>$194,400.00</v>
      </c>
      <c r="F201" s="7" t="s">
        <v>146</v>
      </c>
      <c r="G201" s="10" t="s">
        <v>274</v>
      </c>
      <c r="H201" s="5" t="s">
        <v>148</v>
      </c>
    </row>
    <row r="202" ht="22.5" customHeight="1">
      <c r="A202" s="7" t="s">
        <v>143</v>
      </c>
      <c r="B202" s="7" t="s">
        <v>275</v>
      </c>
      <c r="C202" s="8" t="s">
        <v>244</v>
      </c>
      <c r="D202" s="9" t="str">
        <f t="shared" si="1"/>
        <v>$91,400.00</v>
      </c>
      <c r="E202" s="9" t="str">
        <f t="shared" si="2"/>
        <v>$152,300.00</v>
      </c>
      <c r="F202" s="7" t="s">
        <v>146</v>
      </c>
      <c r="G202" s="10" t="s">
        <v>276</v>
      </c>
      <c r="H202" s="5" t="s">
        <v>148</v>
      </c>
    </row>
    <row r="203" ht="22.5" customHeight="1">
      <c r="A203" s="7" t="s">
        <v>143</v>
      </c>
      <c r="B203" s="7" t="s">
        <v>269</v>
      </c>
      <c r="C203" s="8" t="s">
        <v>216</v>
      </c>
      <c r="D203" s="9" t="str">
        <f t="shared" si="1"/>
        <v>$135,100.00</v>
      </c>
      <c r="E203" s="9" t="str">
        <f t="shared" si="2"/>
        <v>$225,100.00</v>
      </c>
      <c r="F203" s="7" t="s">
        <v>146</v>
      </c>
      <c r="G203" s="10" t="s">
        <v>277</v>
      </c>
      <c r="H203" s="5" t="s">
        <v>148</v>
      </c>
    </row>
    <row r="204" ht="22.5" customHeight="1">
      <c r="A204" s="7" t="s">
        <v>143</v>
      </c>
      <c r="B204" s="7" t="s">
        <v>250</v>
      </c>
      <c r="C204" s="8" t="s">
        <v>251</v>
      </c>
      <c r="D204" s="9" t="str">
        <f t="shared" si="1"/>
        <v>$65,000.00</v>
      </c>
      <c r="E204" s="9" t="str">
        <f t="shared" si="2"/>
        <v>$108,300.00</v>
      </c>
      <c r="F204" s="7" t="s">
        <v>146</v>
      </c>
      <c r="G204" s="10" t="s">
        <v>278</v>
      </c>
      <c r="H204" s="5" t="s">
        <v>148</v>
      </c>
    </row>
    <row r="205" ht="22.5" customHeight="1">
      <c r="A205" s="7" t="s">
        <v>143</v>
      </c>
      <c r="B205" s="7" t="s">
        <v>253</v>
      </c>
      <c r="C205" s="8" t="s">
        <v>156</v>
      </c>
      <c r="D205" s="9" t="str">
        <f t="shared" si="1"/>
        <v>$116,600.00</v>
      </c>
      <c r="E205" s="9" t="str">
        <f t="shared" si="2"/>
        <v>$194,400.00</v>
      </c>
      <c r="F205" s="7" t="s">
        <v>146</v>
      </c>
      <c r="G205" s="10" t="s">
        <v>279</v>
      </c>
      <c r="H205" s="5" t="s">
        <v>148</v>
      </c>
    </row>
    <row r="206" ht="22.5" customHeight="1">
      <c r="A206" s="7" t="s">
        <v>143</v>
      </c>
      <c r="B206" s="7" t="s">
        <v>246</v>
      </c>
      <c r="C206" s="8" t="s">
        <v>247</v>
      </c>
      <c r="D206" s="9" t="str">
        <f t="shared" si="1"/>
        <v>$100,700.00</v>
      </c>
      <c r="E206" s="9" t="str">
        <f t="shared" si="2"/>
        <v>$167,900.00</v>
      </c>
      <c r="F206" s="7" t="s">
        <v>146</v>
      </c>
      <c r="G206" s="10" t="s">
        <v>280</v>
      </c>
      <c r="H206" s="5" t="s">
        <v>148</v>
      </c>
    </row>
    <row r="207" ht="22.5" customHeight="1">
      <c r="A207" s="7" t="s">
        <v>143</v>
      </c>
      <c r="B207" s="7" t="s">
        <v>281</v>
      </c>
      <c r="C207" s="8" t="s">
        <v>162</v>
      </c>
      <c r="D207" s="9" t="str">
        <f t="shared" si="1"/>
        <v>$111,100.00</v>
      </c>
      <c r="E207" s="9" t="str">
        <f t="shared" si="2"/>
        <v>$185,100.00</v>
      </c>
      <c r="F207" s="7" t="s">
        <v>146</v>
      </c>
      <c r="G207" s="10" t="s">
        <v>282</v>
      </c>
      <c r="H207" s="5" t="s">
        <v>148</v>
      </c>
    </row>
    <row r="208" ht="22.5" customHeight="1">
      <c r="A208" s="7" t="s">
        <v>143</v>
      </c>
      <c r="B208" s="7" t="s">
        <v>283</v>
      </c>
      <c r="C208" s="8" t="s">
        <v>153</v>
      </c>
      <c r="D208" s="9" t="str">
        <f t="shared" si="1"/>
        <v>$122,500.00</v>
      </c>
      <c r="E208" s="9" t="str">
        <f t="shared" si="2"/>
        <v>$204,100.00</v>
      </c>
      <c r="F208" s="7" t="s">
        <v>146</v>
      </c>
      <c r="G208" s="10" t="s">
        <v>284</v>
      </c>
      <c r="H208" s="5" t="s">
        <v>148</v>
      </c>
    </row>
    <row r="209" ht="22.5" customHeight="1">
      <c r="A209" s="7" t="s">
        <v>143</v>
      </c>
      <c r="B209" s="7" t="s">
        <v>285</v>
      </c>
      <c r="C209" s="8" t="s">
        <v>156</v>
      </c>
      <c r="D209" s="9" t="str">
        <f t="shared" si="1"/>
        <v>$116,600.00</v>
      </c>
      <c r="E209" s="9" t="str">
        <f t="shared" si="2"/>
        <v>$194,400.00</v>
      </c>
      <c r="F209" s="7" t="s">
        <v>146</v>
      </c>
      <c r="G209" s="10" t="s">
        <v>286</v>
      </c>
      <c r="H209" s="5" t="s">
        <v>148</v>
      </c>
    </row>
    <row r="210" ht="22.5" customHeight="1">
      <c r="A210" s="7" t="s">
        <v>143</v>
      </c>
      <c r="B210" s="7" t="s">
        <v>287</v>
      </c>
      <c r="C210" s="8" t="s">
        <v>165</v>
      </c>
      <c r="D210" s="9" t="str">
        <f t="shared" si="1"/>
        <v>$190,100.00</v>
      </c>
      <c r="E210" s="9" t="str">
        <f t="shared" si="2"/>
        <v>$316,800.00</v>
      </c>
      <c r="F210" s="7" t="s">
        <v>146</v>
      </c>
      <c r="G210" s="10" t="s">
        <v>288</v>
      </c>
      <c r="H210" s="5" t="s">
        <v>148</v>
      </c>
    </row>
    <row r="211" ht="22.5" customHeight="1">
      <c r="A211" s="7" t="s">
        <v>143</v>
      </c>
      <c r="B211" s="7" t="s">
        <v>289</v>
      </c>
      <c r="C211" s="8" t="s">
        <v>153</v>
      </c>
      <c r="D211" s="9" t="str">
        <f t="shared" si="1"/>
        <v>$122,500.00</v>
      </c>
      <c r="E211" s="9" t="str">
        <f t="shared" si="2"/>
        <v>$204,100.00</v>
      </c>
      <c r="F211" s="7" t="s">
        <v>146</v>
      </c>
      <c r="G211" s="10" t="s">
        <v>290</v>
      </c>
      <c r="H211" s="5" t="s">
        <v>148</v>
      </c>
    </row>
    <row r="212" ht="22.5" customHeight="1">
      <c r="A212" s="7" t="s">
        <v>143</v>
      </c>
      <c r="B212" s="7" t="s">
        <v>291</v>
      </c>
      <c r="C212" s="8" t="s">
        <v>185</v>
      </c>
      <c r="D212" s="9" t="str">
        <f t="shared" si="1"/>
        <v>$95,900.00</v>
      </c>
      <c r="E212" s="9" t="str">
        <f t="shared" si="2"/>
        <v>$159,900.00</v>
      </c>
      <c r="F212" s="7" t="s">
        <v>146</v>
      </c>
      <c r="G212" s="10" t="s">
        <v>292</v>
      </c>
      <c r="H212" s="5" t="s">
        <v>148</v>
      </c>
    </row>
    <row r="213" ht="22.5" customHeight="1">
      <c r="A213" s="7" t="s">
        <v>143</v>
      </c>
      <c r="B213" s="7" t="s">
        <v>293</v>
      </c>
      <c r="C213" s="8" t="s">
        <v>198</v>
      </c>
      <c r="D213" s="9" t="str">
        <f t="shared" si="1"/>
        <v>$156,400.00</v>
      </c>
      <c r="E213" s="9" t="str">
        <f t="shared" si="2"/>
        <v>$260,600.00</v>
      </c>
      <c r="F213" s="7" t="s">
        <v>146</v>
      </c>
      <c r="G213" s="10" t="s">
        <v>294</v>
      </c>
      <c r="H213" s="5" t="s">
        <v>148</v>
      </c>
    </row>
    <row r="214" ht="22.5" customHeight="1">
      <c r="A214" s="7" t="s">
        <v>143</v>
      </c>
      <c r="B214" s="7" t="s">
        <v>295</v>
      </c>
      <c r="C214" s="8" t="s">
        <v>162</v>
      </c>
      <c r="D214" s="9" t="str">
        <f t="shared" si="1"/>
        <v>$111,100.00</v>
      </c>
      <c r="E214" s="9" t="str">
        <f t="shared" si="2"/>
        <v>$185,100.00</v>
      </c>
      <c r="F214" s="7" t="s">
        <v>146</v>
      </c>
      <c r="G214" s="10" t="s">
        <v>296</v>
      </c>
      <c r="H214" s="5" t="s">
        <v>148</v>
      </c>
    </row>
    <row r="215" ht="22.5" customHeight="1">
      <c r="A215" s="7" t="s">
        <v>143</v>
      </c>
      <c r="B215" s="7" t="s">
        <v>297</v>
      </c>
      <c r="C215" s="8" t="s">
        <v>178</v>
      </c>
      <c r="D215" s="9" t="str">
        <f t="shared" si="1"/>
        <v>$141,800.00</v>
      </c>
      <c r="E215" s="9" t="str">
        <f t="shared" si="2"/>
        <v>$236,400.00</v>
      </c>
      <c r="F215" s="7" t="s">
        <v>146</v>
      </c>
      <c r="G215" s="10" t="s">
        <v>298</v>
      </c>
      <c r="H215" s="5" t="s">
        <v>148</v>
      </c>
    </row>
    <row r="216" ht="22.5" customHeight="1">
      <c r="A216" s="7" t="s">
        <v>143</v>
      </c>
      <c r="B216" s="7" t="s">
        <v>299</v>
      </c>
      <c r="C216" s="11" t="s">
        <v>244</v>
      </c>
      <c r="D216" s="9" t="str">
        <f t="shared" si="1"/>
        <v>$91,400.00</v>
      </c>
      <c r="E216" s="9" t="str">
        <f t="shared" si="2"/>
        <v>$152,300.00</v>
      </c>
      <c r="F216" s="7" t="s">
        <v>146</v>
      </c>
      <c r="G216" s="10" t="s">
        <v>300</v>
      </c>
      <c r="H216" s="5" t="s">
        <v>148</v>
      </c>
    </row>
    <row r="217" ht="22.5" customHeight="1">
      <c r="A217" s="7" t="s">
        <v>143</v>
      </c>
      <c r="B217" s="7" t="s">
        <v>301</v>
      </c>
      <c r="C217" s="8" t="s">
        <v>216</v>
      </c>
      <c r="D217" s="9" t="str">
        <f t="shared" si="1"/>
        <v>$135,100.00</v>
      </c>
      <c r="E217" s="9" t="str">
        <f t="shared" si="2"/>
        <v>$225,100.00</v>
      </c>
      <c r="F217" s="7" t="s">
        <v>146</v>
      </c>
      <c r="G217" s="10" t="s">
        <v>302</v>
      </c>
      <c r="H217" s="5" t="s">
        <v>148</v>
      </c>
    </row>
    <row r="218" ht="22.5" customHeight="1">
      <c r="A218" s="7" t="s">
        <v>143</v>
      </c>
      <c r="B218" s="7" t="s">
        <v>303</v>
      </c>
      <c r="C218" s="8" t="s">
        <v>156</v>
      </c>
      <c r="D218" s="9" t="str">
        <f t="shared" si="1"/>
        <v>$116,600.00</v>
      </c>
      <c r="E218" s="9" t="str">
        <f t="shared" si="2"/>
        <v>$194,400.00</v>
      </c>
      <c r="F218" s="7" t="s">
        <v>146</v>
      </c>
      <c r="G218" s="10" t="s">
        <v>304</v>
      </c>
      <c r="H218" s="5" t="s">
        <v>148</v>
      </c>
    </row>
    <row r="219" ht="22.5" customHeight="1">
      <c r="A219" s="7" t="s">
        <v>143</v>
      </c>
      <c r="B219" s="7" t="s">
        <v>305</v>
      </c>
      <c r="C219" s="8" t="s">
        <v>153</v>
      </c>
      <c r="D219" s="9" t="str">
        <f t="shared" si="1"/>
        <v>$122,500.00</v>
      </c>
      <c r="E219" s="9" t="str">
        <f t="shared" si="2"/>
        <v>$204,100.00</v>
      </c>
      <c r="F219" s="7" t="s">
        <v>146</v>
      </c>
      <c r="G219" s="10" t="s">
        <v>306</v>
      </c>
      <c r="H219" s="5" t="s">
        <v>148</v>
      </c>
    </row>
    <row r="220" ht="22.5" customHeight="1">
      <c r="A220" s="7" t="s">
        <v>143</v>
      </c>
      <c r="B220" s="7" t="s">
        <v>307</v>
      </c>
      <c r="C220" s="8" t="s">
        <v>256</v>
      </c>
      <c r="D220" s="9" t="str">
        <f t="shared" si="1"/>
        <v>$87,000.00</v>
      </c>
      <c r="E220" s="9" t="str">
        <f t="shared" si="2"/>
        <v>$145,000.00</v>
      </c>
      <c r="F220" s="7" t="s">
        <v>146</v>
      </c>
      <c r="G220" s="10" t="s">
        <v>308</v>
      </c>
      <c r="H220" s="5" t="s">
        <v>148</v>
      </c>
    </row>
    <row r="221" ht="22.5" customHeight="1">
      <c r="A221" s="7" t="s">
        <v>143</v>
      </c>
      <c r="B221" s="7" t="s">
        <v>309</v>
      </c>
      <c r="C221" s="8" t="s">
        <v>310</v>
      </c>
      <c r="D221" s="9" t="str">
        <f t="shared" si="1"/>
        <v>$199,600.00</v>
      </c>
      <c r="E221" s="9" t="str">
        <f t="shared" si="2"/>
        <v>$332,600.00</v>
      </c>
      <c r="F221" s="7" t="s">
        <v>146</v>
      </c>
      <c r="G221" s="10" t="s">
        <v>311</v>
      </c>
      <c r="H221" s="5" t="s">
        <v>148</v>
      </c>
    </row>
    <row r="222" ht="22.5" customHeight="1">
      <c r="A222" s="7" t="s">
        <v>143</v>
      </c>
      <c r="B222" s="7" t="s">
        <v>312</v>
      </c>
      <c r="C222" s="8" t="s">
        <v>216</v>
      </c>
      <c r="D222" s="9" t="str">
        <f t="shared" si="1"/>
        <v>$135,100.00</v>
      </c>
      <c r="E222" s="9" t="str">
        <f t="shared" si="2"/>
        <v>$225,100.00</v>
      </c>
      <c r="F222" s="7" t="s">
        <v>146</v>
      </c>
      <c r="G222" s="10" t="s">
        <v>313</v>
      </c>
      <c r="H222" s="5" t="s">
        <v>148</v>
      </c>
    </row>
    <row r="223" ht="22.5" customHeight="1">
      <c r="A223" s="7" t="s">
        <v>314</v>
      </c>
      <c r="B223" s="7" t="s">
        <v>315</v>
      </c>
      <c r="C223" s="1" t="s">
        <v>10</v>
      </c>
      <c r="D223" s="1" t="s">
        <v>10</v>
      </c>
      <c r="E223" s="1" t="s">
        <v>10</v>
      </c>
      <c r="F223" s="7" t="s">
        <v>146</v>
      </c>
      <c r="G223" s="4" t="s">
        <v>12</v>
      </c>
      <c r="H223" s="5" t="s">
        <v>316</v>
      </c>
    </row>
    <row r="224" ht="22.5" customHeight="1">
      <c r="A224" s="7" t="s">
        <v>314</v>
      </c>
      <c r="B224" s="7" t="s">
        <v>317</v>
      </c>
      <c r="C224" s="1" t="s">
        <v>10</v>
      </c>
      <c r="D224" s="1" t="s">
        <v>10</v>
      </c>
      <c r="E224" s="1" t="s">
        <v>10</v>
      </c>
      <c r="F224" s="7" t="s">
        <v>146</v>
      </c>
      <c r="G224" s="4" t="s">
        <v>12</v>
      </c>
      <c r="H224" s="5" t="s">
        <v>316</v>
      </c>
    </row>
    <row r="225" ht="22.5" customHeight="1">
      <c r="A225" s="7" t="s">
        <v>314</v>
      </c>
      <c r="B225" s="7" t="s">
        <v>318</v>
      </c>
      <c r="C225" s="1" t="s">
        <v>10</v>
      </c>
      <c r="D225" s="1" t="s">
        <v>10</v>
      </c>
      <c r="E225" s="1" t="s">
        <v>10</v>
      </c>
      <c r="F225" s="7" t="s">
        <v>146</v>
      </c>
      <c r="G225" s="4" t="s">
        <v>12</v>
      </c>
      <c r="H225" s="5" t="s">
        <v>316</v>
      </c>
    </row>
    <row r="226" ht="22.5" customHeight="1">
      <c r="A226" s="7" t="s">
        <v>314</v>
      </c>
      <c r="B226" s="7" t="s">
        <v>319</v>
      </c>
      <c r="C226" s="1" t="s">
        <v>10</v>
      </c>
      <c r="D226" s="1" t="s">
        <v>10</v>
      </c>
      <c r="E226" s="1" t="s">
        <v>10</v>
      </c>
      <c r="F226" s="7" t="s">
        <v>146</v>
      </c>
      <c r="G226" s="4" t="s">
        <v>12</v>
      </c>
      <c r="H226" s="5" t="s">
        <v>316</v>
      </c>
    </row>
    <row r="227" ht="22.5" customHeight="1">
      <c r="A227" s="7" t="s">
        <v>314</v>
      </c>
      <c r="B227" s="7" t="s">
        <v>320</v>
      </c>
      <c r="C227" s="1" t="s">
        <v>10</v>
      </c>
      <c r="D227" s="1" t="s">
        <v>10</v>
      </c>
      <c r="E227" s="1" t="s">
        <v>10</v>
      </c>
      <c r="F227" s="7" t="s">
        <v>146</v>
      </c>
      <c r="G227" s="4" t="s">
        <v>12</v>
      </c>
      <c r="H227" s="5" t="s">
        <v>316</v>
      </c>
    </row>
    <row r="228" ht="22.5" customHeight="1">
      <c r="A228" s="7" t="s">
        <v>314</v>
      </c>
      <c r="B228" s="7" t="s">
        <v>321</v>
      </c>
      <c r="C228" s="1" t="s">
        <v>10</v>
      </c>
      <c r="D228" s="1" t="s">
        <v>10</v>
      </c>
      <c r="E228" s="1" t="s">
        <v>10</v>
      </c>
      <c r="F228" s="7" t="s">
        <v>146</v>
      </c>
      <c r="G228" s="4" t="s">
        <v>12</v>
      </c>
      <c r="H228" s="5" t="s">
        <v>316</v>
      </c>
    </row>
    <row r="229" ht="22.5" customHeight="1">
      <c r="A229" s="7" t="s">
        <v>314</v>
      </c>
      <c r="B229" s="7" t="s">
        <v>322</v>
      </c>
      <c r="C229" s="1" t="s">
        <v>10</v>
      </c>
      <c r="D229" s="1" t="s">
        <v>10</v>
      </c>
      <c r="E229" s="1" t="s">
        <v>10</v>
      </c>
      <c r="F229" s="7" t="s">
        <v>146</v>
      </c>
      <c r="G229" s="4" t="s">
        <v>12</v>
      </c>
      <c r="H229" s="5" t="s">
        <v>316</v>
      </c>
    </row>
    <row r="230" ht="22.5" customHeight="1">
      <c r="A230" s="7" t="s">
        <v>314</v>
      </c>
      <c r="B230" s="7" t="s">
        <v>323</v>
      </c>
      <c r="C230" s="1" t="s">
        <v>10</v>
      </c>
      <c r="D230" s="1" t="s">
        <v>10</v>
      </c>
      <c r="E230" s="1" t="s">
        <v>10</v>
      </c>
      <c r="F230" s="7" t="s">
        <v>146</v>
      </c>
      <c r="G230" s="4" t="s">
        <v>12</v>
      </c>
      <c r="H230" s="5" t="s">
        <v>316</v>
      </c>
    </row>
    <row r="231" ht="22.5" customHeight="1">
      <c r="A231" s="7" t="s">
        <v>314</v>
      </c>
      <c r="B231" s="7" t="s">
        <v>324</v>
      </c>
      <c r="C231" s="1" t="s">
        <v>10</v>
      </c>
      <c r="D231" s="1" t="s">
        <v>10</v>
      </c>
      <c r="E231" s="1" t="s">
        <v>10</v>
      </c>
      <c r="F231" s="7" t="s">
        <v>146</v>
      </c>
      <c r="G231" s="4" t="s">
        <v>12</v>
      </c>
      <c r="H231" s="5" t="s">
        <v>316</v>
      </c>
    </row>
    <row r="232" ht="22.5" customHeight="1">
      <c r="A232" s="7" t="s">
        <v>314</v>
      </c>
      <c r="B232" s="7" t="s">
        <v>325</v>
      </c>
      <c r="C232" s="1" t="s">
        <v>10</v>
      </c>
      <c r="D232" s="1" t="s">
        <v>10</v>
      </c>
      <c r="E232" s="1" t="s">
        <v>10</v>
      </c>
      <c r="F232" s="7" t="s">
        <v>146</v>
      </c>
      <c r="G232" s="4" t="s">
        <v>12</v>
      </c>
      <c r="H232" s="5" t="s">
        <v>316</v>
      </c>
    </row>
    <row r="233" ht="22.5" customHeight="1">
      <c r="A233" s="7" t="s">
        <v>314</v>
      </c>
      <c r="B233" s="7" t="s">
        <v>326</v>
      </c>
      <c r="C233" s="1" t="s">
        <v>10</v>
      </c>
      <c r="D233" s="1" t="s">
        <v>10</v>
      </c>
      <c r="E233" s="1" t="s">
        <v>10</v>
      </c>
      <c r="F233" s="7" t="s">
        <v>146</v>
      </c>
      <c r="G233" s="4" t="s">
        <v>12</v>
      </c>
      <c r="H233" s="5" t="s">
        <v>316</v>
      </c>
    </row>
    <row r="234" ht="22.5" customHeight="1">
      <c r="A234" s="7" t="s">
        <v>314</v>
      </c>
      <c r="B234" s="7" t="s">
        <v>327</v>
      </c>
      <c r="C234" s="1" t="s">
        <v>10</v>
      </c>
      <c r="D234" s="1" t="s">
        <v>10</v>
      </c>
      <c r="E234" s="1" t="s">
        <v>10</v>
      </c>
      <c r="F234" s="7" t="s">
        <v>146</v>
      </c>
      <c r="G234" s="4" t="s">
        <v>12</v>
      </c>
      <c r="H234" s="5" t="s">
        <v>316</v>
      </c>
    </row>
    <row r="235" ht="22.5" customHeight="1">
      <c r="A235" s="7" t="s">
        <v>314</v>
      </c>
      <c r="B235" s="7" t="s">
        <v>328</v>
      </c>
      <c r="C235" s="1" t="s">
        <v>10</v>
      </c>
      <c r="D235" s="1" t="s">
        <v>10</v>
      </c>
      <c r="E235" s="1" t="s">
        <v>10</v>
      </c>
      <c r="F235" s="7" t="s">
        <v>146</v>
      </c>
      <c r="G235" s="4" t="s">
        <v>12</v>
      </c>
      <c r="H235" s="5" t="s">
        <v>316</v>
      </c>
    </row>
    <row r="236" ht="22.5" customHeight="1">
      <c r="A236" s="7" t="s">
        <v>314</v>
      </c>
      <c r="B236" s="7" t="s">
        <v>329</v>
      </c>
      <c r="C236" s="1" t="s">
        <v>10</v>
      </c>
      <c r="D236" s="1" t="s">
        <v>10</v>
      </c>
      <c r="E236" s="1" t="s">
        <v>10</v>
      </c>
      <c r="F236" s="7" t="s">
        <v>146</v>
      </c>
      <c r="G236" s="4" t="s">
        <v>12</v>
      </c>
      <c r="H236" s="5" t="s">
        <v>316</v>
      </c>
    </row>
    <row r="237" ht="22.5" customHeight="1">
      <c r="A237" s="7" t="s">
        <v>314</v>
      </c>
      <c r="B237" s="7" t="s">
        <v>330</v>
      </c>
      <c r="C237" s="1" t="s">
        <v>10</v>
      </c>
      <c r="D237" s="1" t="s">
        <v>10</v>
      </c>
      <c r="E237" s="1" t="s">
        <v>10</v>
      </c>
      <c r="F237" s="7" t="s">
        <v>146</v>
      </c>
      <c r="G237" s="4" t="s">
        <v>12</v>
      </c>
      <c r="H237" s="5" t="s">
        <v>316</v>
      </c>
    </row>
    <row r="238" ht="22.5" customHeight="1">
      <c r="A238" s="7" t="s">
        <v>314</v>
      </c>
      <c r="B238" s="7" t="s">
        <v>331</v>
      </c>
      <c r="C238" s="1" t="s">
        <v>10</v>
      </c>
      <c r="D238" s="1" t="s">
        <v>10</v>
      </c>
      <c r="E238" s="1" t="s">
        <v>10</v>
      </c>
      <c r="F238" s="7" t="s">
        <v>146</v>
      </c>
      <c r="G238" s="4" t="s">
        <v>12</v>
      </c>
      <c r="H238" s="5" t="s">
        <v>316</v>
      </c>
    </row>
    <row r="239" ht="22.5" customHeight="1">
      <c r="A239" s="7" t="s">
        <v>314</v>
      </c>
      <c r="B239" s="7" t="s">
        <v>332</v>
      </c>
      <c r="C239" s="1" t="s">
        <v>10</v>
      </c>
      <c r="D239" s="1" t="s">
        <v>10</v>
      </c>
      <c r="E239" s="1" t="s">
        <v>10</v>
      </c>
      <c r="F239" s="7" t="s">
        <v>146</v>
      </c>
      <c r="G239" s="4" t="s">
        <v>12</v>
      </c>
      <c r="H239" s="5" t="s">
        <v>316</v>
      </c>
    </row>
    <row r="240" ht="22.5" customHeight="1">
      <c r="A240" s="7" t="s">
        <v>314</v>
      </c>
      <c r="B240" s="7" t="s">
        <v>333</v>
      </c>
      <c r="C240" s="1" t="s">
        <v>10</v>
      </c>
      <c r="D240" s="1" t="s">
        <v>10</v>
      </c>
      <c r="E240" s="1" t="s">
        <v>10</v>
      </c>
      <c r="F240" s="7" t="s">
        <v>146</v>
      </c>
      <c r="G240" s="4" t="s">
        <v>12</v>
      </c>
      <c r="H240" s="5" t="s">
        <v>316</v>
      </c>
    </row>
    <row r="241" ht="22.5" customHeight="1">
      <c r="A241" s="7" t="s">
        <v>314</v>
      </c>
      <c r="B241" s="7" t="s">
        <v>334</v>
      </c>
      <c r="C241" s="1" t="s">
        <v>10</v>
      </c>
      <c r="D241" s="1" t="s">
        <v>10</v>
      </c>
      <c r="E241" s="1" t="s">
        <v>10</v>
      </c>
      <c r="F241" s="7" t="s">
        <v>146</v>
      </c>
      <c r="G241" s="4" t="s">
        <v>12</v>
      </c>
      <c r="H241" s="5" t="s">
        <v>316</v>
      </c>
    </row>
    <row r="242" ht="22.5" customHeight="1">
      <c r="A242" s="7" t="s">
        <v>314</v>
      </c>
      <c r="B242" s="7" t="s">
        <v>335</v>
      </c>
      <c r="C242" s="1" t="s">
        <v>10</v>
      </c>
      <c r="D242" s="1" t="s">
        <v>10</v>
      </c>
      <c r="E242" s="1" t="s">
        <v>10</v>
      </c>
      <c r="F242" s="7" t="s">
        <v>146</v>
      </c>
      <c r="G242" s="4" t="s">
        <v>12</v>
      </c>
      <c r="H242" s="5" t="s">
        <v>316</v>
      </c>
    </row>
    <row r="243" ht="22.5" customHeight="1">
      <c r="A243" s="7" t="s">
        <v>314</v>
      </c>
      <c r="B243" s="7" t="s">
        <v>336</v>
      </c>
      <c r="C243" s="1" t="s">
        <v>10</v>
      </c>
      <c r="D243" s="1" t="s">
        <v>10</v>
      </c>
      <c r="E243" s="1" t="s">
        <v>10</v>
      </c>
      <c r="F243" s="7" t="s">
        <v>146</v>
      </c>
      <c r="G243" s="4" t="s">
        <v>12</v>
      </c>
      <c r="H243" s="5" t="s">
        <v>316</v>
      </c>
    </row>
    <row r="244" ht="22.5" customHeight="1">
      <c r="A244" s="7" t="s">
        <v>314</v>
      </c>
      <c r="B244" s="7" t="s">
        <v>337</v>
      </c>
      <c r="C244" s="1" t="s">
        <v>10</v>
      </c>
      <c r="D244" s="1" t="s">
        <v>10</v>
      </c>
      <c r="E244" s="1" t="s">
        <v>10</v>
      </c>
      <c r="F244" s="7" t="s">
        <v>146</v>
      </c>
      <c r="G244" s="4" t="s">
        <v>12</v>
      </c>
      <c r="H244" s="5" t="s">
        <v>316</v>
      </c>
    </row>
    <row r="245" ht="22.5" customHeight="1">
      <c r="A245" s="7" t="s">
        <v>338</v>
      </c>
      <c r="B245" s="7" t="s">
        <v>339</v>
      </c>
      <c r="C245" s="12">
        <v>53081.6</v>
      </c>
      <c r="D245" s="12">
        <v>53081.6</v>
      </c>
      <c r="E245" s="12">
        <v>53081.6</v>
      </c>
      <c r="F245" s="7" t="s">
        <v>146</v>
      </c>
      <c r="G245" s="6" t="s">
        <v>340</v>
      </c>
      <c r="H245" s="13" t="s">
        <v>341</v>
      </c>
    </row>
    <row r="246" ht="22.5" customHeight="1">
      <c r="A246" s="7" t="s">
        <v>338</v>
      </c>
      <c r="B246" s="7" t="s">
        <v>342</v>
      </c>
      <c r="C246" s="9">
        <v>47944.0</v>
      </c>
      <c r="D246" s="9">
        <v>47944.0</v>
      </c>
      <c r="E246" s="9">
        <v>47944.0</v>
      </c>
      <c r="F246" s="7" t="s">
        <v>146</v>
      </c>
      <c r="G246" s="10" t="s">
        <v>343</v>
      </c>
      <c r="H246" s="13" t="s">
        <v>341</v>
      </c>
    </row>
    <row r="247" ht="22.5" customHeight="1">
      <c r="A247" s="7" t="s">
        <v>338</v>
      </c>
      <c r="B247" s="7" t="s">
        <v>344</v>
      </c>
      <c r="C247" s="14">
        <v>70400.0</v>
      </c>
      <c r="D247" s="14">
        <v>70400.0</v>
      </c>
      <c r="E247" s="14">
        <v>70400.0</v>
      </c>
      <c r="F247" s="7" t="s">
        <v>146</v>
      </c>
      <c r="G247" s="10" t="s">
        <v>345</v>
      </c>
      <c r="H247" s="13" t="s">
        <v>341</v>
      </c>
    </row>
    <row r="248" ht="22.5" customHeight="1">
      <c r="A248" s="7" t="s">
        <v>338</v>
      </c>
      <c r="B248" s="7" t="s">
        <v>344</v>
      </c>
      <c r="C248" s="14">
        <v>70400.0</v>
      </c>
      <c r="D248" s="14">
        <v>70400.0</v>
      </c>
      <c r="E248" s="14">
        <v>70400.0</v>
      </c>
      <c r="F248" s="7" t="s">
        <v>146</v>
      </c>
      <c r="G248" s="10" t="s">
        <v>346</v>
      </c>
      <c r="H248" s="13" t="s">
        <v>341</v>
      </c>
    </row>
    <row r="249" ht="22.5" customHeight="1">
      <c r="A249" s="7" t="s">
        <v>338</v>
      </c>
      <c r="B249" s="7" t="s">
        <v>344</v>
      </c>
      <c r="C249" s="14">
        <v>70400.0</v>
      </c>
      <c r="D249" s="14">
        <v>70400.0</v>
      </c>
      <c r="E249" s="14">
        <v>70400.0</v>
      </c>
      <c r="F249" s="7" t="s">
        <v>146</v>
      </c>
      <c r="G249" s="10" t="s">
        <v>347</v>
      </c>
      <c r="H249" s="13" t="s">
        <v>341</v>
      </c>
    </row>
    <row r="250" ht="22.5" customHeight="1">
      <c r="A250" s="7" t="s">
        <v>338</v>
      </c>
      <c r="B250" s="7" t="s">
        <v>344</v>
      </c>
      <c r="C250" s="14">
        <v>70400.0</v>
      </c>
      <c r="D250" s="14">
        <v>70400.0</v>
      </c>
      <c r="E250" s="14">
        <v>70400.0</v>
      </c>
      <c r="F250" s="7" t="s">
        <v>146</v>
      </c>
      <c r="G250" s="10" t="s">
        <v>348</v>
      </c>
      <c r="H250" s="13" t="s">
        <v>341</v>
      </c>
    </row>
    <row r="251" ht="22.5" customHeight="1">
      <c r="A251" s="7" t="s">
        <v>338</v>
      </c>
      <c r="B251" s="7" t="s">
        <v>342</v>
      </c>
      <c r="C251" s="14">
        <v>70400.0</v>
      </c>
      <c r="D251" s="14">
        <v>70400.0</v>
      </c>
      <c r="E251" s="14">
        <v>70400.0</v>
      </c>
      <c r="F251" s="7" t="s">
        <v>146</v>
      </c>
      <c r="G251" s="10" t="s">
        <v>349</v>
      </c>
      <c r="H251" s="13" t="s">
        <v>341</v>
      </c>
    </row>
    <row r="252" ht="22.5" customHeight="1">
      <c r="A252" s="7" t="s">
        <v>338</v>
      </c>
      <c r="B252" s="7" t="s">
        <v>344</v>
      </c>
      <c r="C252" s="14">
        <v>67200.0</v>
      </c>
      <c r="D252" s="9">
        <v>67200.0</v>
      </c>
      <c r="E252" s="9">
        <v>67200.0</v>
      </c>
      <c r="F252" s="7" t="s">
        <v>146</v>
      </c>
      <c r="G252" s="10" t="s">
        <v>350</v>
      </c>
      <c r="H252" s="13" t="s">
        <v>341</v>
      </c>
    </row>
    <row r="253" ht="22.5" customHeight="1">
      <c r="A253" s="7" t="s">
        <v>338</v>
      </c>
      <c r="B253" s="7" t="s">
        <v>344</v>
      </c>
      <c r="C253" s="14">
        <v>76800.0</v>
      </c>
      <c r="D253" s="9">
        <v>76800.0</v>
      </c>
      <c r="E253" s="9">
        <v>76800.0</v>
      </c>
      <c r="F253" s="7" t="s">
        <v>146</v>
      </c>
      <c r="G253" s="10" t="s">
        <v>351</v>
      </c>
      <c r="H253" s="13" t="s">
        <v>341</v>
      </c>
    </row>
    <row r="254" ht="22.5" customHeight="1">
      <c r="A254" s="7" t="s">
        <v>338</v>
      </c>
      <c r="B254" s="7" t="s">
        <v>344</v>
      </c>
      <c r="C254" s="14">
        <v>70400.0</v>
      </c>
      <c r="D254" s="9">
        <v>70400.0</v>
      </c>
      <c r="E254" s="9">
        <v>70400.0</v>
      </c>
      <c r="F254" s="7" t="s">
        <v>146</v>
      </c>
      <c r="G254" s="10" t="s">
        <v>352</v>
      </c>
      <c r="H254" s="13" t="s">
        <v>341</v>
      </c>
    </row>
    <row r="255" ht="22.5" customHeight="1">
      <c r="A255" s="7" t="s">
        <v>338</v>
      </c>
      <c r="B255" s="7" t="s">
        <v>344</v>
      </c>
      <c r="C255" s="14">
        <v>80000.0</v>
      </c>
      <c r="D255" s="9">
        <v>80000.0</v>
      </c>
      <c r="E255" s="9">
        <v>80000.0</v>
      </c>
      <c r="F255" s="7" t="s">
        <v>146</v>
      </c>
      <c r="G255" s="10" t="s">
        <v>353</v>
      </c>
      <c r="H255" s="13" t="s">
        <v>341</v>
      </c>
    </row>
    <row r="256" ht="22.5" customHeight="1">
      <c r="A256" s="7" t="s">
        <v>338</v>
      </c>
      <c r="B256" s="7" t="s">
        <v>354</v>
      </c>
      <c r="C256" s="9">
        <v>47944.0</v>
      </c>
      <c r="D256" s="9">
        <v>47944.0</v>
      </c>
      <c r="E256" s="9">
        <v>47944.0</v>
      </c>
      <c r="F256" s="7" t="s">
        <v>146</v>
      </c>
      <c r="G256" s="10" t="s">
        <v>355</v>
      </c>
      <c r="H256" s="13" t="s">
        <v>341</v>
      </c>
    </row>
    <row r="257" ht="22.5" customHeight="1">
      <c r="A257" s="7" t="s">
        <v>338</v>
      </c>
      <c r="B257" s="7" t="s">
        <v>354</v>
      </c>
      <c r="C257" s="9">
        <v>54496.0</v>
      </c>
      <c r="D257" s="9">
        <v>54496.0</v>
      </c>
      <c r="E257" s="9">
        <v>54496.0</v>
      </c>
      <c r="F257" s="7" t="s">
        <v>146</v>
      </c>
      <c r="G257" s="10" t="s">
        <v>356</v>
      </c>
      <c r="H257" s="13" t="s">
        <v>341</v>
      </c>
    </row>
    <row r="258" ht="22.5" customHeight="1">
      <c r="A258" s="7" t="s">
        <v>338</v>
      </c>
      <c r="B258" s="7" t="s">
        <v>357</v>
      </c>
      <c r="C258" s="9">
        <v>47944.0</v>
      </c>
      <c r="D258" s="9">
        <v>47944.0</v>
      </c>
      <c r="E258" s="9">
        <v>47944.0</v>
      </c>
      <c r="F258" s="7" t="s">
        <v>146</v>
      </c>
      <c r="G258" s="10" t="s">
        <v>358</v>
      </c>
      <c r="H258" s="13" t="s">
        <v>341</v>
      </c>
    </row>
    <row r="259" ht="22.5" customHeight="1">
      <c r="A259" s="7" t="s">
        <v>338</v>
      </c>
      <c r="B259" s="7" t="s">
        <v>357</v>
      </c>
      <c r="C259" s="12">
        <v>52832.0</v>
      </c>
      <c r="D259" s="9">
        <v>52832.0</v>
      </c>
      <c r="E259" s="9">
        <v>52832.0</v>
      </c>
      <c r="F259" s="7" t="s">
        <v>146</v>
      </c>
      <c r="G259" s="10" t="s">
        <v>359</v>
      </c>
      <c r="H259" s="13" t="s">
        <v>341</v>
      </c>
    </row>
    <row r="260" ht="22.5" customHeight="1">
      <c r="A260" s="7" t="s">
        <v>338</v>
      </c>
      <c r="B260" s="7" t="s">
        <v>360</v>
      </c>
      <c r="C260" s="9">
        <v>50668.8</v>
      </c>
      <c r="D260" s="9">
        <v>50668.8</v>
      </c>
      <c r="E260" s="9">
        <v>50668.8</v>
      </c>
      <c r="F260" s="7" t="s">
        <v>146</v>
      </c>
      <c r="G260" s="10" t="s">
        <v>361</v>
      </c>
      <c r="H260" s="13" t="s">
        <v>341</v>
      </c>
    </row>
    <row r="261" ht="22.5" customHeight="1">
      <c r="A261" s="7" t="s">
        <v>338</v>
      </c>
      <c r="B261" s="7" t="s">
        <v>362</v>
      </c>
      <c r="C261" s="9">
        <v>40560.0</v>
      </c>
      <c r="D261" s="9">
        <v>40560.0</v>
      </c>
      <c r="E261" s="9">
        <v>40560.0</v>
      </c>
      <c r="F261" s="7" t="s">
        <v>146</v>
      </c>
      <c r="G261" s="10" t="s">
        <v>363</v>
      </c>
      <c r="H261" s="13" t="s">
        <v>341</v>
      </c>
    </row>
    <row r="262" ht="22.5" customHeight="1">
      <c r="A262" s="7" t="s">
        <v>338</v>
      </c>
      <c r="B262" s="7" t="s">
        <v>362</v>
      </c>
      <c r="C262" s="9">
        <v>39728.0</v>
      </c>
      <c r="D262" s="9">
        <v>39728.0</v>
      </c>
      <c r="E262" s="9">
        <v>39728.0</v>
      </c>
      <c r="F262" s="7" t="s">
        <v>146</v>
      </c>
      <c r="G262" s="10" t="s">
        <v>364</v>
      </c>
      <c r="H262" s="13" t="s">
        <v>341</v>
      </c>
    </row>
    <row r="263" ht="22.5" customHeight="1">
      <c r="A263" s="7" t="s">
        <v>338</v>
      </c>
      <c r="B263" s="7" t="s">
        <v>362</v>
      </c>
      <c r="C263" s="9">
        <v>38376.0</v>
      </c>
      <c r="D263" s="9">
        <v>38376.0</v>
      </c>
      <c r="E263" s="9">
        <v>38376.0</v>
      </c>
      <c r="F263" s="7" t="s">
        <v>146</v>
      </c>
      <c r="G263" s="10" t="s">
        <v>365</v>
      </c>
      <c r="H263" s="13" t="s">
        <v>341</v>
      </c>
    </row>
    <row r="264" ht="22.5" customHeight="1">
      <c r="A264" s="7" t="s">
        <v>338</v>
      </c>
      <c r="B264" s="7" t="s">
        <v>366</v>
      </c>
      <c r="C264" s="9">
        <v>67184.0</v>
      </c>
      <c r="D264" s="9">
        <v>67184.0</v>
      </c>
      <c r="E264" s="9">
        <v>67184.0</v>
      </c>
      <c r="F264" s="7" t="s">
        <v>146</v>
      </c>
      <c r="G264" s="10" t="s">
        <v>367</v>
      </c>
      <c r="H264" s="13" t="s">
        <v>341</v>
      </c>
    </row>
    <row r="265" ht="22.5" customHeight="1">
      <c r="A265" s="7" t="s">
        <v>368</v>
      </c>
      <c r="B265" s="7" t="s">
        <v>369</v>
      </c>
      <c r="C265" s="8" t="s">
        <v>370</v>
      </c>
      <c r="D265" s="9" t="str">
        <f t="shared" ref="D265:D269" si="3">TRIM(LEFT($C265, FIND("-", $C265)-1))</f>
        <v>$58,240.00</v>
      </c>
      <c r="E265" s="9" t="str">
        <f t="shared" ref="E265:E269" si="4">TRIM(MID($C265, FIND("-", $C265)+1, LEN($C265)))</f>
        <v>$66,560.00</v>
      </c>
      <c r="F265" s="7" t="s">
        <v>146</v>
      </c>
      <c r="G265" s="10" t="s">
        <v>371</v>
      </c>
      <c r="H265" s="13" t="s">
        <v>372</v>
      </c>
    </row>
    <row r="266" ht="22.5" customHeight="1">
      <c r="A266" s="7" t="s">
        <v>368</v>
      </c>
      <c r="B266" s="7" t="s">
        <v>373</v>
      </c>
      <c r="C266" s="8" t="s">
        <v>374</v>
      </c>
      <c r="D266" s="9" t="str">
        <f t="shared" si="3"/>
        <v>$62,400.00</v>
      </c>
      <c r="E266" s="9" t="str">
        <f t="shared" si="4"/>
        <v>$72,800.00</v>
      </c>
      <c r="F266" s="7" t="s">
        <v>146</v>
      </c>
      <c r="G266" s="10" t="s">
        <v>375</v>
      </c>
      <c r="H266" s="13" t="s">
        <v>372</v>
      </c>
    </row>
    <row r="267" ht="22.5" customHeight="1">
      <c r="A267" s="7" t="s">
        <v>376</v>
      </c>
      <c r="B267" s="7" t="s">
        <v>377</v>
      </c>
      <c r="C267" s="8" t="s">
        <v>378</v>
      </c>
      <c r="D267" s="9" t="str">
        <f t="shared" si="3"/>
        <v>$91,500.00</v>
      </c>
      <c r="E267" s="9" t="str">
        <f t="shared" si="4"/>
        <v>$114,400.00</v>
      </c>
      <c r="F267" s="7" t="s">
        <v>146</v>
      </c>
      <c r="G267" s="10" t="s">
        <v>379</v>
      </c>
      <c r="H267" s="13" t="s">
        <v>380</v>
      </c>
    </row>
    <row r="268" ht="22.5" customHeight="1">
      <c r="A268" s="7" t="s">
        <v>376</v>
      </c>
      <c r="B268" s="7" t="s">
        <v>381</v>
      </c>
      <c r="C268" s="8" t="s">
        <v>382</v>
      </c>
      <c r="D268" s="9" t="str">
        <f t="shared" si="3"/>
        <v>$83,200.00</v>
      </c>
      <c r="E268" s="9" t="str">
        <f t="shared" si="4"/>
        <v>$104,000.00</v>
      </c>
      <c r="F268" s="7" t="s">
        <v>146</v>
      </c>
      <c r="G268" s="10" t="s">
        <v>383</v>
      </c>
      <c r="H268" s="13" t="s">
        <v>380</v>
      </c>
    </row>
    <row r="269" ht="22.5" customHeight="1">
      <c r="A269" s="7" t="s">
        <v>384</v>
      </c>
      <c r="B269" s="7" t="s">
        <v>385</v>
      </c>
      <c r="C269" s="12" t="s">
        <v>386</v>
      </c>
      <c r="D269" s="9" t="str">
        <f t="shared" si="3"/>
        <v>$63,377.60</v>
      </c>
      <c r="E269" s="9" t="str">
        <f t="shared" si="4"/>
        <v>$70,449.60</v>
      </c>
      <c r="F269" s="7" t="s">
        <v>146</v>
      </c>
      <c r="G269" s="10" t="s">
        <v>387</v>
      </c>
      <c r="H269" s="13" t="s">
        <v>388</v>
      </c>
    </row>
    <row r="270" ht="22.5" customHeight="1">
      <c r="A270" s="7" t="s">
        <v>384</v>
      </c>
      <c r="B270" s="7" t="s">
        <v>389</v>
      </c>
      <c r="C270" s="8" t="s">
        <v>10</v>
      </c>
      <c r="D270" s="8" t="s">
        <v>10</v>
      </c>
      <c r="E270" s="8" t="s">
        <v>10</v>
      </c>
      <c r="F270" s="7" t="s">
        <v>146</v>
      </c>
      <c r="G270" s="10" t="s">
        <v>390</v>
      </c>
      <c r="H270" s="13" t="s">
        <v>388</v>
      </c>
    </row>
    <row r="271" ht="22.5" customHeight="1">
      <c r="A271" s="7" t="s">
        <v>384</v>
      </c>
      <c r="B271" s="7" t="s">
        <v>391</v>
      </c>
      <c r="C271" s="8" t="s">
        <v>392</v>
      </c>
      <c r="D271" s="9" t="str">
        <f t="shared" ref="D271:D273" si="5">TRIM(LEFT($C271, FIND("-", $C271)-1))</f>
        <v>$131,000.00</v>
      </c>
      <c r="E271" s="9" t="str">
        <f t="shared" ref="E271:E273" si="6">TRIM(MID($C271, FIND("-", $C271)+1, LEN($C271)))</f>
        <v>$195,000.00</v>
      </c>
      <c r="F271" s="7" t="s">
        <v>146</v>
      </c>
      <c r="G271" s="10" t="s">
        <v>390</v>
      </c>
      <c r="H271" s="13" t="s">
        <v>388</v>
      </c>
    </row>
    <row r="272" ht="22.5" customHeight="1">
      <c r="A272" s="7" t="s">
        <v>384</v>
      </c>
      <c r="B272" s="7" t="s">
        <v>393</v>
      </c>
      <c r="C272" s="8" t="s">
        <v>394</v>
      </c>
      <c r="D272" s="9" t="str">
        <f t="shared" si="5"/>
        <v>$90,000.00</v>
      </c>
      <c r="E272" s="9" t="str">
        <f t="shared" si="6"/>
        <v>$110,000.00</v>
      </c>
      <c r="F272" s="7" t="s">
        <v>146</v>
      </c>
      <c r="G272" s="10" t="s">
        <v>395</v>
      </c>
      <c r="H272" s="13" t="s">
        <v>388</v>
      </c>
    </row>
    <row r="273" ht="22.5" customHeight="1">
      <c r="A273" s="7" t="s">
        <v>384</v>
      </c>
      <c r="B273" s="7" t="s">
        <v>396</v>
      </c>
      <c r="C273" s="8" t="s">
        <v>397</v>
      </c>
      <c r="D273" s="9" t="str">
        <f t="shared" si="5"/>
        <v>$125,000.00</v>
      </c>
      <c r="E273" s="9" t="str">
        <f t="shared" si="6"/>
        <v>$135,000.00</v>
      </c>
      <c r="F273" s="7" t="s">
        <v>146</v>
      </c>
      <c r="G273" s="13" t="s">
        <v>398</v>
      </c>
      <c r="H273" s="13" t="s">
        <v>388</v>
      </c>
    </row>
    <row r="274" ht="22.5" customHeight="1">
      <c r="A274" s="4" t="s">
        <v>399</v>
      </c>
      <c r="B274" s="7" t="s">
        <v>400</v>
      </c>
      <c r="C274" s="15">
        <v>63169.6</v>
      </c>
      <c r="D274" s="15">
        <v>63169.6</v>
      </c>
      <c r="E274" s="15">
        <v>63169.6</v>
      </c>
      <c r="F274" s="7" t="s">
        <v>146</v>
      </c>
      <c r="G274" s="10" t="s">
        <v>401</v>
      </c>
      <c r="H274" s="13" t="s">
        <v>402</v>
      </c>
    </row>
    <row r="275" ht="22.5" customHeight="1">
      <c r="A275" s="4" t="s">
        <v>399</v>
      </c>
      <c r="B275" s="7" t="s">
        <v>403</v>
      </c>
      <c r="C275" s="15">
        <v>54600.0</v>
      </c>
      <c r="D275" s="15">
        <v>54600.0</v>
      </c>
      <c r="E275" s="15">
        <v>54600.0</v>
      </c>
      <c r="F275" s="7" t="s">
        <v>146</v>
      </c>
      <c r="G275" s="10" t="s">
        <v>404</v>
      </c>
      <c r="H275" s="13" t="s">
        <v>402</v>
      </c>
    </row>
    <row r="276" ht="22.5" customHeight="1">
      <c r="A276" s="4" t="s">
        <v>399</v>
      </c>
      <c r="B276" s="7" t="s">
        <v>405</v>
      </c>
      <c r="C276" s="8" t="s">
        <v>406</v>
      </c>
      <c r="D276" s="9" t="str">
        <f t="shared" ref="D276:D278" si="7">TRIM(LEFT($C276, FIND("-", $C276)-1))</f>
        <v>$72,499.00</v>
      </c>
      <c r="E276" s="9" t="str">
        <f t="shared" ref="E276:E278" si="8">TRIM(MID($C276, FIND("-", $C276)+1, LEN($C276)))</f>
        <v>$107,769.00</v>
      </c>
      <c r="F276" s="7" t="s">
        <v>146</v>
      </c>
      <c r="G276" s="13" t="s">
        <v>407</v>
      </c>
      <c r="H276" s="13" t="s">
        <v>402</v>
      </c>
    </row>
    <row r="277" ht="22.5" customHeight="1">
      <c r="A277" s="4" t="s">
        <v>399</v>
      </c>
      <c r="B277" s="7" t="s">
        <v>408</v>
      </c>
      <c r="C277" s="8" t="s">
        <v>409</v>
      </c>
      <c r="D277" s="9" t="str">
        <f t="shared" si="7"/>
        <v>$79,608.00</v>
      </c>
      <c r="E277" s="9" t="str">
        <f t="shared" si="8"/>
        <v>$118,336.00</v>
      </c>
      <c r="F277" s="7" t="s">
        <v>146</v>
      </c>
      <c r="G277" s="10" t="s">
        <v>410</v>
      </c>
      <c r="H277" s="13" t="s">
        <v>402</v>
      </c>
    </row>
    <row r="278" ht="22.5" customHeight="1">
      <c r="A278" s="4" t="s">
        <v>399</v>
      </c>
      <c r="B278" s="7" t="s">
        <v>411</v>
      </c>
      <c r="C278" s="8" t="s">
        <v>412</v>
      </c>
      <c r="D278" s="9" t="str">
        <f t="shared" si="7"/>
        <v>$104,802.00</v>
      </c>
      <c r="E278" s="9" t="str">
        <f t="shared" si="8"/>
        <v>$160,114.00</v>
      </c>
      <c r="F278" s="7" t="s">
        <v>146</v>
      </c>
      <c r="G278" s="10" t="s">
        <v>413</v>
      </c>
      <c r="H278" s="13" t="s">
        <v>402</v>
      </c>
    </row>
    <row r="279" ht="22.5" customHeight="1">
      <c r="A279" s="4" t="s">
        <v>399</v>
      </c>
      <c r="B279" s="7" t="s">
        <v>414</v>
      </c>
      <c r="C279" s="8" t="s">
        <v>10</v>
      </c>
      <c r="D279" s="8" t="s">
        <v>10</v>
      </c>
      <c r="E279" s="8" t="s">
        <v>10</v>
      </c>
      <c r="F279" s="7" t="s">
        <v>146</v>
      </c>
      <c r="G279" s="10" t="s">
        <v>415</v>
      </c>
      <c r="H279" s="13" t="s">
        <v>402</v>
      </c>
    </row>
    <row r="280" ht="22.5" customHeight="1">
      <c r="A280" s="4" t="s">
        <v>399</v>
      </c>
      <c r="B280" s="7" t="s">
        <v>416</v>
      </c>
      <c r="C280" s="8" t="s">
        <v>409</v>
      </c>
      <c r="D280" s="9" t="str">
        <f t="shared" ref="D280:D302" si="9">TRIM(LEFT($C280, FIND("-", $C280)-1))</f>
        <v>$79,608.00</v>
      </c>
      <c r="E280" s="9" t="str">
        <f t="shared" ref="E280:E302" si="10">TRIM(MID($C280, FIND("-", $C280)+1, LEN($C280)))</f>
        <v>$118,336.00</v>
      </c>
      <c r="F280" s="7" t="s">
        <v>146</v>
      </c>
      <c r="G280" s="10" t="s">
        <v>417</v>
      </c>
      <c r="H280" s="13" t="s">
        <v>402</v>
      </c>
    </row>
    <row r="281" ht="22.5" customHeight="1">
      <c r="A281" s="4" t="s">
        <v>399</v>
      </c>
      <c r="B281" s="7" t="s">
        <v>418</v>
      </c>
      <c r="C281" s="8" t="s">
        <v>419</v>
      </c>
      <c r="D281" s="9" t="str">
        <f t="shared" si="9"/>
        <v>$84,533.00</v>
      </c>
      <c r="E281" s="9" t="str">
        <f t="shared" si="10"/>
        <v>$126,512.00</v>
      </c>
      <c r="F281" s="7" t="s">
        <v>146</v>
      </c>
      <c r="G281" s="10" t="s">
        <v>420</v>
      </c>
      <c r="H281" s="13" t="s">
        <v>402</v>
      </c>
    </row>
    <row r="282" ht="22.5" customHeight="1">
      <c r="A282" s="7" t="s">
        <v>421</v>
      </c>
      <c r="B282" s="7" t="s">
        <v>422</v>
      </c>
      <c r="C282" s="8" t="s">
        <v>423</v>
      </c>
      <c r="D282" s="9" t="str">
        <f t="shared" si="9"/>
        <v>$115,000.00</v>
      </c>
      <c r="E282" s="9" t="str">
        <f t="shared" si="10"/>
        <v>$150,000.00</v>
      </c>
      <c r="F282" s="7" t="s">
        <v>146</v>
      </c>
      <c r="G282" s="10" t="s">
        <v>424</v>
      </c>
      <c r="H282" s="13" t="s">
        <v>425</v>
      </c>
    </row>
    <row r="283" ht="22.5" customHeight="1">
      <c r="A283" s="7" t="s">
        <v>421</v>
      </c>
      <c r="B283" s="7" t="s">
        <v>426</v>
      </c>
      <c r="C283" s="8" t="s">
        <v>427</v>
      </c>
      <c r="D283" s="9" t="str">
        <f t="shared" si="9"/>
        <v>$90,000.00</v>
      </c>
      <c r="E283" s="9" t="str">
        <f t="shared" si="10"/>
        <v>$115,000.00</v>
      </c>
      <c r="F283" s="7" t="s">
        <v>146</v>
      </c>
      <c r="G283" s="13" t="s">
        <v>428</v>
      </c>
      <c r="H283" s="13" t="s">
        <v>425</v>
      </c>
    </row>
    <row r="284" ht="22.5" customHeight="1">
      <c r="A284" s="7" t="s">
        <v>421</v>
      </c>
      <c r="B284" s="7" t="s">
        <v>429</v>
      </c>
      <c r="C284" s="8" t="s">
        <v>430</v>
      </c>
      <c r="D284" s="9" t="str">
        <f t="shared" si="9"/>
        <v>$62,400.00</v>
      </c>
      <c r="E284" s="9" t="str">
        <f t="shared" si="10"/>
        <v>$83,200.00</v>
      </c>
      <c r="F284" s="7" t="s">
        <v>146</v>
      </c>
      <c r="G284" s="10" t="s">
        <v>431</v>
      </c>
      <c r="H284" s="13" t="s">
        <v>425</v>
      </c>
    </row>
    <row r="285" ht="22.5" customHeight="1">
      <c r="A285" s="7" t="s">
        <v>421</v>
      </c>
      <c r="B285" s="7" t="s">
        <v>432</v>
      </c>
      <c r="C285" s="8" t="s">
        <v>433</v>
      </c>
      <c r="D285" s="9" t="str">
        <f t="shared" si="9"/>
        <v>$200,000.00</v>
      </c>
      <c r="E285" s="9" t="str">
        <f t="shared" si="10"/>
        <v>$220,000.00</v>
      </c>
      <c r="F285" s="7" t="s">
        <v>146</v>
      </c>
      <c r="G285" s="13" t="s">
        <v>434</v>
      </c>
      <c r="H285" s="13" t="s">
        <v>425</v>
      </c>
    </row>
    <row r="286" ht="22.5" customHeight="1">
      <c r="A286" s="7" t="s">
        <v>421</v>
      </c>
      <c r="B286" s="7" t="s">
        <v>435</v>
      </c>
      <c r="C286" s="8" t="s">
        <v>436</v>
      </c>
      <c r="D286" s="9" t="str">
        <f t="shared" si="9"/>
        <v>$41,600.00</v>
      </c>
      <c r="E286" s="9" t="str">
        <f t="shared" si="10"/>
        <v>$62,400.00</v>
      </c>
      <c r="F286" s="7" t="s">
        <v>146</v>
      </c>
      <c r="G286" s="10" t="s">
        <v>437</v>
      </c>
      <c r="H286" s="13" t="s">
        <v>425</v>
      </c>
    </row>
    <row r="287" ht="22.5" customHeight="1">
      <c r="A287" s="7" t="s">
        <v>421</v>
      </c>
      <c r="B287" s="7" t="s">
        <v>438</v>
      </c>
      <c r="C287" s="8" t="s">
        <v>439</v>
      </c>
      <c r="D287" s="9" t="str">
        <f t="shared" si="9"/>
        <v>$110,000.00</v>
      </c>
      <c r="E287" s="9" t="str">
        <f t="shared" si="10"/>
        <v>$145,000.00</v>
      </c>
      <c r="F287" s="7" t="s">
        <v>146</v>
      </c>
      <c r="G287" s="10" t="s">
        <v>440</v>
      </c>
      <c r="H287" s="13" t="s">
        <v>425</v>
      </c>
    </row>
    <row r="288" ht="22.5" customHeight="1">
      <c r="A288" s="7" t="s">
        <v>421</v>
      </c>
      <c r="B288" s="7" t="s">
        <v>441</v>
      </c>
      <c r="C288" s="8" t="s">
        <v>442</v>
      </c>
      <c r="D288" s="9" t="str">
        <f t="shared" si="9"/>
        <v>$100,000.00</v>
      </c>
      <c r="E288" s="9" t="str">
        <f t="shared" si="10"/>
        <v>$120,000.00</v>
      </c>
      <c r="F288" s="7" t="s">
        <v>146</v>
      </c>
      <c r="G288" s="10" t="s">
        <v>443</v>
      </c>
      <c r="H288" s="13" t="s">
        <v>425</v>
      </c>
    </row>
    <row r="289" ht="22.5" customHeight="1">
      <c r="A289" s="7" t="s">
        <v>421</v>
      </c>
      <c r="B289" s="7" t="s">
        <v>444</v>
      </c>
      <c r="C289" s="8" t="s">
        <v>427</v>
      </c>
      <c r="D289" s="9" t="str">
        <f t="shared" si="9"/>
        <v>$90,000.00</v>
      </c>
      <c r="E289" s="9" t="str">
        <f t="shared" si="10"/>
        <v>$115,000.00</v>
      </c>
      <c r="F289" s="7" t="s">
        <v>146</v>
      </c>
      <c r="G289" s="10" t="s">
        <v>445</v>
      </c>
      <c r="H289" s="13" t="s">
        <v>425</v>
      </c>
    </row>
    <row r="290" ht="22.5" customHeight="1">
      <c r="A290" s="7" t="s">
        <v>421</v>
      </c>
      <c r="B290" s="7" t="s">
        <v>446</v>
      </c>
      <c r="C290" s="8" t="s">
        <v>447</v>
      </c>
      <c r="D290" s="9" t="str">
        <f t="shared" si="9"/>
        <v>$72,800.00</v>
      </c>
      <c r="E290" s="9" t="str">
        <f t="shared" si="10"/>
        <v>$93,600.00</v>
      </c>
      <c r="F290" s="7" t="s">
        <v>146</v>
      </c>
      <c r="G290" s="10" t="s">
        <v>448</v>
      </c>
      <c r="H290" s="13" t="s">
        <v>425</v>
      </c>
    </row>
    <row r="291" ht="22.5" customHeight="1">
      <c r="A291" s="7" t="s">
        <v>421</v>
      </c>
      <c r="B291" s="7" t="s">
        <v>429</v>
      </c>
      <c r="C291" s="8" t="s">
        <v>430</v>
      </c>
      <c r="D291" s="9" t="str">
        <f t="shared" si="9"/>
        <v>$62,400.00</v>
      </c>
      <c r="E291" s="9" t="str">
        <f t="shared" si="10"/>
        <v>$83,200.00</v>
      </c>
      <c r="F291" s="7" t="s">
        <v>146</v>
      </c>
      <c r="G291" s="10" t="s">
        <v>449</v>
      </c>
      <c r="H291" s="13" t="s">
        <v>425</v>
      </c>
    </row>
    <row r="292" ht="22.5" customHeight="1">
      <c r="A292" s="7" t="s">
        <v>421</v>
      </c>
      <c r="B292" s="7" t="s">
        <v>450</v>
      </c>
      <c r="C292" s="8" t="s">
        <v>451</v>
      </c>
      <c r="D292" s="9" t="str">
        <f t="shared" si="9"/>
        <v>$120,000.00</v>
      </c>
      <c r="E292" s="9" t="str">
        <f t="shared" si="10"/>
        <v>$150,000.00</v>
      </c>
      <c r="F292" s="7" t="s">
        <v>146</v>
      </c>
      <c r="G292" s="10" t="s">
        <v>452</v>
      </c>
      <c r="H292" s="13" t="s">
        <v>425</v>
      </c>
    </row>
    <row r="293" ht="22.5" customHeight="1">
      <c r="A293" s="7" t="s">
        <v>421</v>
      </c>
      <c r="B293" s="7" t="s">
        <v>453</v>
      </c>
      <c r="C293" s="8" t="s">
        <v>454</v>
      </c>
      <c r="D293" s="9" t="str">
        <f t="shared" si="9"/>
        <v>$130,000.00</v>
      </c>
      <c r="E293" s="9" t="str">
        <f t="shared" si="10"/>
        <v>$165,000.00</v>
      </c>
      <c r="F293" s="7" t="s">
        <v>146</v>
      </c>
      <c r="G293" s="10" t="s">
        <v>455</v>
      </c>
      <c r="H293" s="13" t="s">
        <v>425</v>
      </c>
    </row>
    <row r="294" ht="22.5" customHeight="1">
      <c r="A294" s="7" t="s">
        <v>421</v>
      </c>
      <c r="B294" s="7" t="s">
        <v>456</v>
      </c>
      <c r="C294" s="8" t="s">
        <v>423</v>
      </c>
      <c r="D294" s="9" t="str">
        <f t="shared" si="9"/>
        <v>$115,000.00</v>
      </c>
      <c r="E294" s="9" t="str">
        <f t="shared" si="10"/>
        <v>$150,000.00</v>
      </c>
      <c r="F294" s="7" t="s">
        <v>146</v>
      </c>
      <c r="G294" s="10" t="s">
        <v>457</v>
      </c>
      <c r="H294" s="13" t="s">
        <v>425</v>
      </c>
    </row>
    <row r="295" ht="22.5" customHeight="1">
      <c r="A295" s="7" t="s">
        <v>421</v>
      </c>
      <c r="B295" s="7" t="s">
        <v>458</v>
      </c>
      <c r="C295" s="8" t="s">
        <v>459</v>
      </c>
      <c r="D295" s="9" t="str">
        <f t="shared" si="9"/>
        <v>$85,000.00</v>
      </c>
      <c r="E295" s="9" t="str">
        <f t="shared" si="10"/>
        <v>$135,000.00</v>
      </c>
      <c r="F295" s="7" t="s">
        <v>146</v>
      </c>
      <c r="G295" s="10" t="s">
        <v>460</v>
      </c>
      <c r="H295" s="13" t="s">
        <v>425</v>
      </c>
    </row>
    <row r="296" ht="22.5" customHeight="1">
      <c r="A296" s="7" t="s">
        <v>421</v>
      </c>
      <c r="B296" s="7" t="s">
        <v>461</v>
      </c>
      <c r="C296" s="8" t="s">
        <v>462</v>
      </c>
      <c r="D296" s="9" t="str">
        <f t="shared" si="9"/>
        <v>$120,000.00</v>
      </c>
      <c r="E296" s="9" t="str">
        <f t="shared" si="10"/>
        <v>$140,000.00</v>
      </c>
      <c r="F296" s="7" t="s">
        <v>146</v>
      </c>
      <c r="G296" s="10" t="s">
        <v>463</v>
      </c>
      <c r="H296" s="13" t="s">
        <v>425</v>
      </c>
    </row>
    <row r="297" ht="22.5" customHeight="1">
      <c r="A297" s="7" t="s">
        <v>421</v>
      </c>
      <c r="B297" s="7" t="s">
        <v>464</v>
      </c>
      <c r="C297" s="8" t="s">
        <v>465</v>
      </c>
      <c r="D297" s="9" t="str">
        <f t="shared" si="9"/>
        <v>$80,000.00</v>
      </c>
      <c r="E297" s="9" t="str">
        <f t="shared" si="10"/>
        <v>$100,000.00</v>
      </c>
      <c r="F297" s="7" t="s">
        <v>146</v>
      </c>
      <c r="G297" s="10" t="s">
        <v>466</v>
      </c>
      <c r="H297" s="13" t="s">
        <v>425</v>
      </c>
    </row>
    <row r="298" ht="22.5" customHeight="1">
      <c r="A298" s="7" t="s">
        <v>421</v>
      </c>
      <c r="B298" s="7" t="s">
        <v>441</v>
      </c>
      <c r="C298" s="8" t="s">
        <v>467</v>
      </c>
      <c r="D298" s="9" t="str">
        <f t="shared" si="9"/>
        <v>$100,000.00</v>
      </c>
      <c r="E298" s="9" t="str">
        <f t="shared" si="10"/>
        <v>$115,000.00</v>
      </c>
      <c r="F298" s="7" t="s">
        <v>146</v>
      </c>
      <c r="G298" s="10" t="s">
        <v>468</v>
      </c>
      <c r="H298" s="13" t="s">
        <v>425</v>
      </c>
    </row>
    <row r="299" ht="22.5" customHeight="1">
      <c r="A299" s="7" t="s">
        <v>421</v>
      </c>
      <c r="B299" s="7" t="s">
        <v>446</v>
      </c>
      <c r="C299" s="15" t="s">
        <v>447</v>
      </c>
      <c r="D299" s="9" t="str">
        <f t="shared" si="9"/>
        <v>$72,800.00</v>
      </c>
      <c r="E299" s="9" t="str">
        <f t="shared" si="10"/>
        <v>$93,600.00</v>
      </c>
      <c r="F299" s="7" t="s">
        <v>146</v>
      </c>
      <c r="G299" s="10" t="s">
        <v>469</v>
      </c>
      <c r="H299" s="13" t="s">
        <v>425</v>
      </c>
    </row>
    <row r="300" ht="22.5" customHeight="1">
      <c r="A300" s="7" t="s">
        <v>421</v>
      </c>
      <c r="B300" s="7" t="s">
        <v>470</v>
      </c>
      <c r="C300" s="8" t="s">
        <v>471</v>
      </c>
      <c r="D300" s="9" t="str">
        <f t="shared" si="9"/>
        <v>$130,000.00</v>
      </c>
      <c r="E300" s="9" t="str">
        <f t="shared" si="10"/>
        <v>$190,000.00</v>
      </c>
      <c r="F300" s="7" t="s">
        <v>146</v>
      </c>
      <c r="G300" s="10" t="s">
        <v>472</v>
      </c>
      <c r="H300" s="13" t="s">
        <v>425</v>
      </c>
    </row>
    <row r="301" ht="22.5" customHeight="1">
      <c r="A301" s="4" t="s">
        <v>473</v>
      </c>
      <c r="B301" s="7" t="s">
        <v>474</v>
      </c>
      <c r="C301" s="8" t="s">
        <v>475</v>
      </c>
      <c r="D301" s="9" t="str">
        <f t="shared" si="9"/>
        <v>$90,000.00</v>
      </c>
      <c r="E301" s="9" t="str">
        <f t="shared" si="10"/>
        <v>$105,000.00</v>
      </c>
      <c r="F301" s="7" t="s">
        <v>146</v>
      </c>
      <c r="G301" s="10" t="s">
        <v>476</v>
      </c>
      <c r="H301" s="13" t="s">
        <v>477</v>
      </c>
    </row>
    <row r="302" ht="22.5" customHeight="1">
      <c r="A302" s="4" t="s">
        <v>473</v>
      </c>
      <c r="B302" s="7" t="s">
        <v>478</v>
      </c>
      <c r="C302" s="8" t="s">
        <v>479</v>
      </c>
      <c r="D302" s="9" t="str">
        <f t="shared" si="9"/>
        <v>$45,240.00</v>
      </c>
      <c r="E302" s="9" t="str">
        <f t="shared" si="10"/>
        <v>$46,800.00</v>
      </c>
      <c r="F302" s="7" t="s">
        <v>146</v>
      </c>
      <c r="G302" s="10" t="s">
        <v>480</v>
      </c>
      <c r="H302" s="13" t="s">
        <v>477</v>
      </c>
    </row>
    <row r="303" ht="22.5" customHeight="1">
      <c r="A303" s="4" t="s">
        <v>473</v>
      </c>
      <c r="B303" s="7" t="s">
        <v>481</v>
      </c>
      <c r="C303" s="12">
        <v>81203.2</v>
      </c>
      <c r="D303" s="15">
        <v>81203.2</v>
      </c>
      <c r="E303" s="15">
        <v>81203.2</v>
      </c>
      <c r="F303" s="7" t="s">
        <v>146</v>
      </c>
      <c r="G303" s="10" t="s">
        <v>482</v>
      </c>
      <c r="H303" s="13" t="s">
        <v>477</v>
      </c>
    </row>
    <row r="304" ht="22.5" customHeight="1">
      <c r="A304" s="4" t="s">
        <v>473</v>
      </c>
      <c r="B304" s="7" t="s">
        <v>483</v>
      </c>
      <c r="C304" s="8" t="s">
        <v>484</v>
      </c>
      <c r="D304" s="9" t="str">
        <f>TRIM(LEFT($C304, FIND("-", $C304)-1))</f>
        <v>$95,000.00</v>
      </c>
      <c r="E304" s="9" t="str">
        <f>TRIM(MID($C304, FIND("-", $C304)+1, LEN($C304)))</f>
        <v>$120,000.00</v>
      </c>
      <c r="F304" s="7" t="s">
        <v>146</v>
      </c>
      <c r="G304" s="10" t="s">
        <v>485</v>
      </c>
      <c r="H304" s="13" t="s">
        <v>477</v>
      </c>
    </row>
    <row r="305" ht="22.5" customHeight="1">
      <c r="A305" s="4" t="s">
        <v>473</v>
      </c>
      <c r="B305" s="7" t="s">
        <v>486</v>
      </c>
      <c r="C305" s="14">
        <v>60000.0</v>
      </c>
      <c r="D305" s="9">
        <v>60000.0</v>
      </c>
      <c r="E305" s="9">
        <v>60000.0</v>
      </c>
      <c r="F305" s="7" t="s">
        <v>146</v>
      </c>
      <c r="G305" s="10" t="s">
        <v>487</v>
      </c>
      <c r="H305" s="13" t="s">
        <v>477</v>
      </c>
    </row>
    <row r="306" ht="22.5" customHeight="1">
      <c r="A306" s="4" t="s">
        <v>488</v>
      </c>
      <c r="B306" s="7" t="s">
        <v>408</v>
      </c>
      <c r="C306" s="8" t="s">
        <v>10</v>
      </c>
      <c r="D306" s="8" t="s">
        <v>10</v>
      </c>
      <c r="E306" s="8" t="s">
        <v>10</v>
      </c>
      <c r="F306" s="7" t="s">
        <v>146</v>
      </c>
      <c r="G306" s="10" t="s">
        <v>489</v>
      </c>
      <c r="H306" s="13" t="s">
        <v>490</v>
      </c>
    </row>
    <row r="307" ht="22.5" customHeight="1">
      <c r="A307" s="4" t="s">
        <v>488</v>
      </c>
      <c r="B307" s="7" t="s">
        <v>418</v>
      </c>
      <c r="C307" s="8" t="s">
        <v>491</v>
      </c>
      <c r="D307" s="9" t="str">
        <f>TRIM(LEFT($C307, FIND("-", $C307)-1))</f>
        <v>$150,000.00</v>
      </c>
      <c r="E307" s="9" t="str">
        <f>TRIM(MID($C307, FIND("-", $C307)+1, LEN($C307)))</f>
        <v>$180,000.00</v>
      </c>
      <c r="F307" s="7" t="s">
        <v>146</v>
      </c>
      <c r="G307" s="10" t="s">
        <v>489</v>
      </c>
      <c r="H307" s="13" t="s">
        <v>490</v>
      </c>
    </row>
    <row r="308" ht="22.5" customHeight="1">
      <c r="A308" s="4" t="s">
        <v>488</v>
      </c>
      <c r="B308" s="7" t="s">
        <v>492</v>
      </c>
      <c r="C308" s="15">
        <v>83200.0</v>
      </c>
      <c r="D308" s="15">
        <v>83200.0</v>
      </c>
      <c r="E308" s="15">
        <v>83200.0</v>
      </c>
      <c r="F308" s="7" t="s">
        <v>146</v>
      </c>
      <c r="G308" s="10" t="s">
        <v>489</v>
      </c>
      <c r="H308" s="13" t="s">
        <v>490</v>
      </c>
    </row>
    <row r="309" ht="22.5" customHeight="1">
      <c r="A309" s="7" t="s">
        <v>493</v>
      </c>
      <c r="B309" s="7" t="s">
        <v>494</v>
      </c>
      <c r="C309" s="8" t="s">
        <v>495</v>
      </c>
      <c r="D309" s="9" t="str">
        <f t="shared" ref="D309:D425" si="11">TRIM(LEFT($C309, FIND("-", $C309)-1))</f>
        <v>$129,200.00</v>
      </c>
      <c r="E309" s="9" t="str">
        <f t="shared" ref="E309:E425" si="12">TRIM(MID($C309, FIND("-", $C309)+1, LEN($C309)))</f>
        <v>$174,800.00</v>
      </c>
      <c r="F309" s="7" t="s">
        <v>146</v>
      </c>
      <c r="G309" s="10" t="s">
        <v>496</v>
      </c>
      <c r="H309" s="13" t="s">
        <v>497</v>
      </c>
    </row>
    <row r="310" ht="22.5" customHeight="1">
      <c r="A310" s="7" t="s">
        <v>493</v>
      </c>
      <c r="B310" s="7" t="s">
        <v>498</v>
      </c>
      <c r="C310" s="8" t="s">
        <v>499</v>
      </c>
      <c r="D310" s="9" t="str">
        <f t="shared" si="11"/>
        <v>$138,550.00</v>
      </c>
      <c r="E310" s="9" t="str">
        <f t="shared" si="12"/>
        <v>$187,450.00</v>
      </c>
      <c r="F310" s="7" t="s">
        <v>146</v>
      </c>
      <c r="G310" s="10" t="s">
        <v>500</v>
      </c>
      <c r="H310" s="13" t="s">
        <v>497</v>
      </c>
    </row>
    <row r="311" ht="22.5" customHeight="1">
      <c r="A311" s="7" t="s">
        <v>493</v>
      </c>
      <c r="B311" s="7" t="s">
        <v>501</v>
      </c>
      <c r="C311" s="8" t="s">
        <v>502</v>
      </c>
      <c r="D311" s="9" t="str">
        <f t="shared" si="11"/>
        <v>$165,750.00</v>
      </c>
      <c r="E311" s="9" t="str">
        <f t="shared" si="12"/>
        <v>$224,250.00</v>
      </c>
      <c r="F311" s="7" t="s">
        <v>146</v>
      </c>
      <c r="G311" s="10" t="s">
        <v>500</v>
      </c>
      <c r="H311" s="13" t="s">
        <v>497</v>
      </c>
    </row>
    <row r="312" ht="22.5" customHeight="1">
      <c r="A312" s="7" t="s">
        <v>493</v>
      </c>
      <c r="B312" s="7" t="s">
        <v>503</v>
      </c>
      <c r="C312" s="8" t="s">
        <v>499</v>
      </c>
      <c r="D312" s="9" t="str">
        <f t="shared" si="11"/>
        <v>$138,550.00</v>
      </c>
      <c r="E312" s="9" t="str">
        <f t="shared" si="12"/>
        <v>$187,450.00</v>
      </c>
      <c r="F312" s="7" t="s">
        <v>146</v>
      </c>
      <c r="G312" s="10" t="s">
        <v>504</v>
      </c>
      <c r="H312" s="13" t="s">
        <v>497</v>
      </c>
    </row>
    <row r="313" ht="22.5" customHeight="1">
      <c r="A313" s="7" t="s">
        <v>493</v>
      </c>
      <c r="B313" s="7" t="s">
        <v>505</v>
      </c>
      <c r="C313" s="8" t="s">
        <v>502</v>
      </c>
      <c r="D313" s="9" t="str">
        <f t="shared" si="11"/>
        <v>$165,750.00</v>
      </c>
      <c r="E313" s="9" t="str">
        <f t="shared" si="12"/>
        <v>$224,250.00</v>
      </c>
      <c r="F313" s="7" t="s">
        <v>146</v>
      </c>
      <c r="G313" s="10" t="s">
        <v>504</v>
      </c>
      <c r="H313" s="13" t="s">
        <v>497</v>
      </c>
    </row>
    <row r="314" ht="22.5" customHeight="1">
      <c r="A314" s="7" t="s">
        <v>493</v>
      </c>
      <c r="B314" s="7" t="s">
        <v>506</v>
      </c>
      <c r="C314" s="8" t="s">
        <v>507</v>
      </c>
      <c r="D314" s="9" t="str">
        <f t="shared" si="11"/>
        <v>$141,100.00</v>
      </c>
      <c r="E314" s="9" t="str">
        <f t="shared" si="12"/>
        <v>$190,900.00</v>
      </c>
      <c r="F314" s="7" t="s">
        <v>146</v>
      </c>
      <c r="G314" s="10" t="s">
        <v>508</v>
      </c>
      <c r="H314" s="13" t="s">
        <v>497</v>
      </c>
    </row>
    <row r="315" ht="22.5" customHeight="1">
      <c r="A315" s="7" t="s">
        <v>493</v>
      </c>
      <c r="B315" s="7" t="s">
        <v>509</v>
      </c>
      <c r="C315" s="8" t="s">
        <v>510</v>
      </c>
      <c r="D315" s="9" t="str">
        <f t="shared" si="11"/>
        <v>$89,250.00</v>
      </c>
      <c r="E315" s="9" t="str">
        <f t="shared" si="12"/>
        <v>$120,750.00</v>
      </c>
      <c r="F315" s="7" t="s">
        <v>146</v>
      </c>
      <c r="G315" s="10" t="s">
        <v>511</v>
      </c>
      <c r="H315" s="13" t="s">
        <v>497</v>
      </c>
    </row>
    <row r="316" ht="22.5" customHeight="1">
      <c r="A316" s="7" t="s">
        <v>493</v>
      </c>
      <c r="B316" s="7" t="s">
        <v>512</v>
      </c>
      <c r="C316" s="8" t="s">
        <v>513</v>
      </c>
      <c r="D316" s="9" t="str">
        <f t="shared" si="11"/>
        <v>$73,100.00</v>
      </c>
      <c r="E316" s="9" t="str">
        <f t="shared" si="12"/>
        <v>$90,300.00</v>
      </c>
      <c r="F316" s="7" t="s">
        <v>146</v>
      </c>
      <c r="G316" s="10" t="s">
        <v>514</v>
      </c>
      <c r="H316" s="13" t="s">
        <v>497</v>
      </c>
    </row>
    <row r="317" ht="22.5" customHeight="1">
      <c r="A317" s="7" t="s">
        <v>493</v>
      </c>
      <c r="B317" s="7" t="s">
        <v>515</v>
      </c>
      <c r="C317" s="8" t="s">
        <v>516</v>
      </c>
      <c r="D317" s="9" t="str">
        <f t="shared" si="11"/>
        <v>$96,050.00</v>
      </c>
      <c r="E317" s="9" t="str">
        <f t="shared" si="12"/>
        <v>$129,950.00</v>
      </c>
      <c r="F317" s="7" t="s">
        <v>146</v>
      </c>
      <c r="G317" s="10" t="s">
        <v>517</v>
      </c>
      <c r="H317" s="13" t="s">
        <v>497</v>
      </c>
    </row>
    <row r="318" ht="22.5" customHeight="1">
      <c r="A318" s="7" t="s">
        <v>493</v>
      </c>
      <c r="B318" s="7" t="s">
        <v>518</v>
      </c>
      <c r="C318" s="8" t="s">
        <v>519</v>
      </c>
      <c r="D318" s="9" t="str">
        <f t="shared" si="11"/>
        <v>$119,000.00</v>
      </c>
      <c r="E318" s="9" t="str">
        <f t="shared" si="12"/>
        <v>$161,000.00</v>
      </c>
      <c r="F318" s="7" t="s">
        <v>146</v>
      </c>
      <c r="G318" s="10" t="s">
        <v>517</v>
      </c>
      <c r="H318" s="13" t="s">
        <v>497</v>
      </c>
    </row>
    <row r="319" ht="22.5" customHeight="1">
      <c r="A319" s="7" t="s">
        <v>493</v>
      </c>
      <c r="B319" s="7" t="s">
        <v>520</v>
      </c>
      <c r="C319" s="8" t="s">
        <v>521</v>
      </c>
      <c r="D319" s="9" t="str">
        <f t="shared" si="11"/>
        <v>$120,700.00</v>
      </c>
      <c r="E319" s="9" t="str">
        <f t="shared" si="12"/>
        <v>$163,300.00</v>
      </c>
      <c r="F319" s="7" t="s">
        <v>146</v>
      </c>
      <c r="G319" s="10" t="s">
        <v>522</v>
      </c>
      <c r="H319" s="13" t="s">
        <v>497</v>
      </c>
    </row>
    <row r="320" ht="22.5" customHeight="1">
      <c r="A320" s="7" t="s">
        <v>493</v>
      </c>
      <c r="B320" s="7" t="s">
        <v>523</v>
      </c>
      <c r="C320" s="8" t="s">
        <v>524</v>
      </c>
      <c r="D320" s="9" t="str">
        <f t="shared" si="11"/>
        <v>$151,300.00</v>
      </c>
      <c r="E320" s="9" t="str">
        <f t="shared" si="12"/>
        <v>$204,700.00</v>
      </c>
      <c r="F320" s="7" t="s">
        <v>146</v>
      </c>
      <c r="G320" s="10" t="s">
        <v>522</v>
      </c>
      <c r="H320" s="13" t="s">
        <v>497</v>
      </c>
    </row>
    <row r="321" ht="22.5" customHeight="1">
      <c r="A321" s="7" t="s">
        <v>493</v>
      </c>
      <c r="B321" s="7" t="s">
        <v>525</v>
      </c>
      <c r="C321" s="8" t="s">
        <v>526</v>
      </c>
      <c r="D321" s="9" t="str">
        <f t="shared" si="11"/>
        <v>$114,750.00</v>
      </c>
      <c r="E321" s="9" t="str">
        <f t="shared" si="12"/>
        <v>$155,250.00</v>
      </c>
      <c r="F321" s="7" t="s">
        <v>146</v>
      </c>
      <c r="G321" s="10" t="s">
        <v>527</v>
      </c>
      <c r="H321" s="13" t="s">
        <v>497</v>
      </c>
    </row>
    <row r="322" ht="22.5" customHeight="1">
      <c r="A322" s="7" t="s">
        <v>493</v>
      </c>
      <c r="B322" s="7" t="s">
        <v>528</v>
      </c>
      <c r="C322" s="8" t="s">
        <v>499</v>
      </c>
      <c r="D322" s="9" t="str">
        <f t="shared" si="11"/>
        <v>$138,550.00</v>
      </c>
      <c r="E322" s="9" t="str">
        <f t="shared" si="12"/>
        <v>$187,450.00</v>
      </c>
      <c r="F322" s="7" t="s">
        <v>146</v>
      </c>
      <c r="G322" s="10" t="s">
        <v>527</v>
      </c>
      <c r="H322" s="13" t="s">
        <v>497</v>
      </c>
    </row>
    <row r="323" ht="22.5" customHeight="1">
      <c r="A323" s="7" t="s">
        <v>493</v>
      </c>
      <c r="B323" s="7" t="s">
        <v>529</v>
      </c>
      <c r="C323" s="8" t="s">
        <v>530</v>
      </c>
      <c r="D323" s="9" t="str">
        <f t="shared" si="11"/>
        <v>$78,200.00</v>
      </c>
      <c r="E323" s="9" t="str">
        <f t="shared" si="12"/>
        <v>$105,800.00</v>
      </c>
      <c r="F323" s="7" t="s">
        <v>146</v>
      </c>
      <c r="G323" s="10" t="s">
        <v>531</v>
      </c>
      <c r="H323" s="13" t="s">
        <v>497</v>
      </c>
    </row>
    <row r="324" ht="22.5" customHeight="1">
      <c r="A324" s="7" t="s">
        <v>493</v>
      </c>
      <c r="B324" s="7" t="s">
        <v>532</v>
      </c>
      <c r="C324" s="8" t="s">
        <v>533</v>
      </c>
      <c r="D324" s="9" t="str">
        <f t="shared" si="11"/>
        <v>$96,900.00</v>
      </c>
      <c r="E324" s="9" t="str">
        <f t="shared" si="12"/>
        <v>$131,100.00</v>
      </c>
      <c r="F324" s="7" t="s">
        <v>146</v>
      </c>
      <c r="G324" s="10" t="s">
        <v>531</v>
      </c>
      <c r="H324" s="13" t="s">
        <v>497</v>
      </c>
    </row>
    <row r="325" ht="22.5" customHeight="1">
      <c r="A325" s="7" t="s">
        <v>493</v>
      </c>
      <c r="B325" s="7" t="s">
        <v>534</v>
      </c>
      <c r="C325" s="8" t="s">
        <v>535</v>
      </c>
      <c r="D325" s="9" t="str">
        <f t="shared" si="11"/>
        <v>$94,350.00</v>
      </c>
      <c r="E325" s="9" t="str">
        <f t="shared" si="12"/>
        <v>$127,650.00</v>
      </c>
      <c r="F325" s="7" t="s">
        <v>146</v>
      </c>
      <c r="G325" s="10" t="s">
        <v>536</v>
      </c>
      <c r="H325" s="13" t="s">
        <v>497</v>
      </c>
    </row>
    <row r="326" ht="22.5" customHeight="1">
      <c r="A326" s="7" t="s">
        <v>493</v>
      </c>
      <c r="B326" s="7" t="s">
        <v>537</v>
      </c>
      <c r="C326" s="8" t="s">
        <v>526</v>
      </c>
      <c r="D326" s="9" t="str">
        <f t="shared" si="11"/>
        <v>$114,750.00</v>
      </c>
      <c r="E326" s="9" t="str">
        <f t="shared" si="12"/>
        <v>$155,250.00</v>
      </c>
      <c r="F326" s="7" t="s">
        <v>146</v>
      </c>
      <c r="G326" s="10" t="s">
        <v>536</v>
      </c>
      <c r="H326" s="13" t="s">
        <v>497</v>
      </c>
    </row>
    <row r="327" ht="22.5" customHeight="1">
      <c r="A327" s="7" t="s">
        <v>493</v>
      </c>
      <c r="B327" s="7" t="s">
        <v>538</v>
      </c>
      <c r="C327" s="8" t="s">
        <v>499</v>
      </c>
      <c r="D327" s="9" t="str">
        <f t="shared" si="11"/>
        <v>$138,550.00</v>
      </c>
      <c r="E327" s="9" t="str">
        <f t="shared" si="12"/>
        <v>$187,450.00</v>
      </c>
      <c r="F327" s="7" t="s">
        <v>146</v>
      </c>
      <c r="G327" s="10" t="s">
        <v>536</v>
      </c>
      <c r="H327" s="13" t="s">
        <v>497</v>
      </c>
    </row>
    <row r="328" ht="22.5" customHeight="1">
      <c r="A328" s="7" t="s">
        <v>493</v>
      </c>
      <c r="B328" s="7" t="s">
        <v>539</v>
      </c>
      <c r="C328" s="8" t="s">
        <v>540</v>
      </c>
      <c r="D328" s="9" t="str">
        <f t="shared" si="11"/>
        <v>$134,300.00</v>
      </c>
      <c r="E328" s="9" t="str">
        <f t="shared" si="12"/>
        <v>$194,350.00</v>
      </c>
      <c r="F328" s="7" t="s">
        <v>146</v>
      </c>
      <c r="G328" s="10" t="s">
        <v>541</v>
      </c>
      <c r="H328" s="13" t="s">
        <v>497</v>
      </c>
    </row>
    <row r="329" ht="22.5" customHeight="1">
      <c r="A329" s="7" t="s">
        <v>493</v>
      </c>
      <c r="B329" s="7" t="s">
        <v>542</v>
      </c>
      <c r="C329" s="8" t="s">
        <v>510</v>
      </c>
      <c r="D329" s="9" t="str">
        <f t="shared" si="11"/>
        <v>$89,250.00</v>
      </c>
      <c r="E329" s="9" t="str">
        <f t="shared" si="12"/>
        <v>$120,750.00</v>
      </c>
      <c r="F329" s="7" t="s">
        <v>146</v>
      </c>
      <c r="G329" s="10" t="s">
        <v>543</v>
      </c>
      <c r="H329" s="13" t="s">
        <v>497</v>
      </c>
    </row>
    <row r="330" ht="22.5" customHeight="1">
      <c r="A330" s="7" t="s">
        <v>493</v>
      </c>
      <c r="B330" s="7" t="s">
        <v>544</v>
      </c>
      <c r="C330" s="8" t="s">
        <v>545</v>
      </c>
      <c r="D330" s="9" t="str">
        <f t="shared" si="11"/>
        <v>$105,400.00</v>
      </c>
      <c r="E330" s="9" t="str">
        <f t="shared" si="12"/>
        <v>$142,600.00</v>
      </c>
      <c r="F330" s="7" t="s">
        <v>146</v>
      </c>
      <c r="G330" s="10" t="s">
        <v>543</v>
      </c>
      <c r="H330" s="13" t="s">
        <v>497</v>
      </c>
    </row>
    <row r="331" ht="22.5" customHeight="1">
      <c r="A331" s="7" t="s">
        <v>493</v>
      </c>
      <c r="B331" s="7" t="s">
        <v>546</v>
      </c>
      <c r="C331" s="8" t="s">
        <v>547</v>
      </c>
      <c r="D331" s="9" t="str">
        <f t="shared" si="11"/>
        <v>$191,250.00</v>
      </c>
      <c r="E331" s="9" t="str">
        <f t="shared" si="12"/>
        <v>$258,750.00</v>
      </c>
      <c r="F331" s="7" t="s">
        <v>146</v>
      </c>
      <c r="G331" s="10" t="s">
        <v>548</v>
      </c>
      <c r="H331" s="13" t="s">
        <v>497</v>
      </c>
    </row>
    <row r="332" ht="22.5" customHeight="1">
      <c r="A332" s="7" t="s">
        <v>493</v>
      </c>
      <c r="B332" s="7" t="s">
        <v>549</v>
      </c>
      <c r="C332" s="8" t="s">
        <v>550</v>
      </c>
      <c r="D332" s="9" t="str">
        <f t="shared" si="11"/>
        <v>$234,600.00</v>
      </c>
      <c r="E332" s="9" t="str">
        <f t="shared" si="12"/>
        <v>$317,000.00</v>
      </c>
      <c r="F332" s="7" t="s">
        <v>146</v>
      </c>
      <c r="G332" s="10" t="s">
        <v>548</v>
      </c>
      <c r="H332" s="13" t="s">
        <v>497</v>
      </c>
    </row>
    <row r="333" ht="22.5" customHeight="1">
      <c r="A333" s="7" t="s">
        <v>493</v>
      </c>
      <c r="B333" s="7" t="s">
        <v>551</v>
      </c>
      <c r="C333" s="8" t="s">
        <v>535</v>
      </c>
      <c r="D333" s="9" t="str">
        <f t="shared" si="11"/>
        <v>$94,350.00</v>
      </c>
      <c r="E333" s="9" t="str">
        <f t="shared" si="12"/>
        <v>$127,650.00</v>
      </c>
      <c r="F333" s="7" t="s">
        <v>146</v>
      </c>
      <c r="G333" s="10" t="s">
        <v>552</v>
      </c>
      <c r="H333" s="13" t="s">
        <v>497</v>
      </c>
    </row>
    <row r="334" ht="22.5" customHeight="1">
      <c r="A334" s="7" t="s">
        <v>493</v>
      </c>
      <c r="B334" s="7" t="s">
        <v>553</v>
      </c>
      <c r="C334" s="8" t="s">
        <v>554</v>
      </c>
      <c r="D334" s="9" t="str">
        <f t="shared" si="11"/>
        <v>$167,450.00</v>
      </c>
      <c r="E334" s="9" t="str">
        <f t="shared" si="12"/>
        <v>$226,550.00</v>
      </c>
      <c r="F334" s="7" t="s">
        <v>146</v>
      </c>
      <c r="G334" s="10" t="s">
        <v>555</v>
      </c>
      <c r="H334" s="13" t="s">
        <v>497</v>
      </c>
    </row>
    <row r="335" ht="22.5" customHeight="1">
      <c r="A335" s="7" t="s">
        <v>493</v>
      </c>
      <c r="B335" s="7" t="s">
        <v>556</v>
      </c>
      <c r="C335" s="8" t="s">
        <v>557</v>
      </c>
      <c r="D335" s="9" t="str">
        <f t="shared" si="11"/>
        <v>$193,800.00</v>
      </c>
      <c r="E335" s="9" t="str">
        <f t="shared" si="12"/>
        <v>$262,200.00</v>
      </c>
      <c r="F335" s="7" t="s">
        <v>146</v>
      </c>
      <c r="G335" s="10" t="s">
        <v>555</v>
      </c>
      <c r="H335" s="13" t="s">
        <v>497</v>
      </c>
    </row>
    <row r="336" ht="22.5" customHeight="1">
      <c r="A336" s="7" t="s">
        <v>493</v>
      </c>
      <c r="B336" s="7" t="s">
        <v>558</v>
      </c>
      <c r="C336" s="8" t="s">
        <v>559</v>
      </c>
      <c r="D336" s="9" t="str">
        <f t="shared" si="11"/>
        <v>$102,000.00</v>
      </c>
      <c r="E336" s="9" t="str">
        <f t="shared" si="12"/>
        <v>$138,000.00</v>
      </c>
      <c r="F336" s="7" t="s">
        <v>146</v>
      </c>
      <c r="G336" s="10" t="s">
        <v>560</v>
      </c>
      <c r="H336" s="13" t="s">
        <v>497</v>
      </c>
    </row>
    <row r="337" ht="22.5" customHeight="1">
      <c r="A337" s="7" t="s">
        <v>493</v>
      </c>
      <c r="B337" s="7" t="s">
        <v>561</v>
      </c>
      <c r="C337" s="8" t="s">
        <v>562</v>
      </c>
      <c r="D337" s="9" t="str">
        <f t="shared" si="11"/>
        <v>$124,100.00</v>
      </c>
      <c r="E337" s="9" t="str">
        <f t="shared" si="12"/>
        <v>$167,900.00</v>
      </c>
      <c r="F337" s="7" t="s">
        <v>146</v>
      </c>
      <c r="G337" s="10" t="s">
        <v>560</v>
      </c>
      <c r="H337" s="13" t="s">
        <v>497</v>
      </c>
    </row>
    <row r="338" ht="22.5" customHeight="1">
      <c r="A338" s="7" t="s">
        <v>493</v>
      </c>
      <c r="B338" s="7" t="s">
        <v>563</v>
      </c>
      <c r="C338" s="8" t="s">
        <v>564</v>
      </c>
      <c r="D338" s="9" t="str">
        <f t="shared" si="11"/>
        <v>$119,850.00</v>
      </c>
      <c r="E338" s="9" t="str">
        <f t="shared" si="12"/>
        <v>$162,150.00</v>
      </c>
      <c r="F338" s="7" t="s">
        <v>146</v>
      </c>
      <c r="G338" s="10" t="s">
        <v>565</v>
      </c>
      <c r="H338" s="13" t="s">
        <v>497</v>
      </c>
    </row>
    <row r="339" ht="22.5" customHeight="1">
      <c r="A339" s="7" t="s">
        <v>493</v>
      </c>
      <c r="B339" s="7" t="s">
        <v>566</v>
      </c>
      <c r="C339" s="8" t="s">
        <v>567</v>
      </c>
      <c r="D339" s="9" t="str">
        <f t="shared" si="11"/>
        <v>$102,850.00</v>
      </c>
      <c r="E339" s="9" t="str">
        <f t="shared" si="12"/>
        <v>$139,150.00</v>
      </c>
      <c r="F339" s="7" t="s">
        <v>146</v>
      </c>
      <c r="G339" s="10" t="s">
        <v>568</v>
      </c>
      <c r="H339" s="13" t="s">
        <v>497</v>
      </c>
    </row>
    <row r="340" ht="22.5" customHeight="1">
      <c r="A340" s="7" t="s">
        <v>493</v>
      </c>
      <c r="B340" s="7" t="s">
        <v>569</v>
      </c>
      <c r="C340" s="8" t="s">
        <v>570</v>
      </c>
      <c r="D340" s="9" t="str">
        <f t="shared" si="11"/>
        <v>$128,350.00</v>
      </c>
      <c r="E340" s="9" t="str">
        <f t="shared" si="12"/>
        <v>$173,650.00</v>
      </c>
      <c r="F340" s="7" t="s">
        <v>146</v>
      </c>
      <c r="G340" s="10" t="s">
        <v>568</v>
      </c>
      <c r="H340" s="13" t="s">
        <v>497</v>
      </c>
    </row>
    <row r="341" ht="22.5" customHeight="1">
      <c r="A341" s="7" t="s">
        <v>493</v>
      </c>
      <c r="B341" s="7" t="s">
        <v>571</v>
      </c>
      <c r="C341" s="8" t="s">
        <v>572</v>
      </c>
      <c r="D341" s="9" t="str">
        <f t="shared" si="11"/>
        <v>$108,800.00</v>
      </c>
      <c r="E341" s="9" t="str">
        <f t="shared" si="12"/>
        <v>$147,200.00</v>
      </c>
      <c r="F341" s="7" t="s">
        <v>146</v>
      </c>
      <c r="G341" s="10" t="s">
        <v>573</v>
      </c>
      <c r="H341" s="13" t="s">
        <v>497</v>
      </c>
    </row>
    <row r="342" ht="22.5" customHeight="1">
      <c r="A342" s="7" t="s">
        <v>493</v>
      </c>
      <c r="B342" s="7" t="s">
        <v>574</v>
      </c>
      <c r="C342" s="8" t="s">
        <v>562</v>
      </c>
      <c r="D342" s="9" t="str">
        <f t="shared" si="11"/>
        <v>$124,100.00</v>
      </c>
      <c r="E342" s="9" t="str">
        <f t="shared" si="12"/>
        <v>$167,900.00</v>
      </c>
      <c r="F342" s="7" t="s">
        <v>146</v>
      </c>
      <c r="G342" s="10" t="s">
        <v>575</v>
      </c>
      <c r="H342" s="13" t="s">
        <v>497</v>
      </c>
    </row>
    <row r="343" ht="22.5" customHeight="1">
      <c r="A343" s="7" t="s">
        <v>493</v>
      </c>
      <c r="B343" s="7" t="s">
        <v>576</v>
      </c>
      <c r="C343" s="8" t="s">
        <v>577</v>
      </c>
      <c r="D343" s="9" t="str">
        <f t="shared" si="11"/>
        <v>$136,850.00</v>
      </c>
      <c r="E343" s="9" t="str">
        <f t="shared" si="12"/>
        <v>$185,150.00</v>
      </c>
      <c r="F343" s="7" t="s">
        <v>146</v>
      </c>
      <c r="G343" s="10" t="s">
        <v>578</v>
      </c>
      <c r="H343" s="13" t="s">
        <v>497</v>
      </c>
    </row>
    <row r="344" ht="22.5" customHeight="1">
      <c r="A344" s="7" t="s">
        <v>493</v>
      </c>
      <c r="B344" s="7" t="s">
        <v>579</v>
      </c>
      <c r="C344" s="8" t="s">
        <v>559</v>
      </c>
      <c r="D344" s="9" t="str">
        <f t="shared" si="11"/>
        <v>$102,000.00</v>
      </c>
      <c r="E344" s="9" t="str">
        <f t="shared" si="12"/>
        <v>$138,000.00</v>
      </c>
      <c r="F344" s="7" t="s">
        <v>146</v>
      </c>
      <c r="G344" s="13" t="s">
        <v>580</v>
      </c>
      <c r="H344" s="13" t="s">
        <v>497</v>
      </c>
    </row>
    <row r="345" ht="22.5" customHeight="1">
      <c r="A345" s="7" t="s">
        <v>493</v>
      </c>
      <c r="B345" s="7" t="s">
        <v>581</v>
      </c>
      <c r="C345" s="8" t="s">
        <v>526</v>
      </c>
      <c r="D345" s="9" t="str">
        <f t="shared" si="11"/>
        <v>$114,750.00</v>
      </c>
      <c r="E345" s="9" t="str">
        <f t="shared" si="12"/>
        <v>$155,250.00</v>
      </c>
      <c r="F345" s="7" t="s">
        <v>146</v>
      </c>
      <c r="G345" s="10" t="s">
        <v>582</v>
      </c>
      <c r="H345" s="13" t="s">
        <v>497</v>
      </c>
    </row>
    <row r="346" ht="22.5" customHeight="1">
      <c r="A346" s="7" t="s">
        <v>493</v>
      </c>
      <c r="B346" s="7" t="s">
        <v>583</v>
      </c>
      <c r="C346" s="8" t="s">
        <v>577</v>
      </c>
      <c r="D346" s="9" t="str">
        <f t="shared" si="11"/>
        <v>$136,850.00</v>
      </c>
      <c r="E346" s="9" t="str">
        <f t="shared" si="12"/>
        <v>$185,150.00</v>
      </c>
      <c r="F346" s="7" t="s">
        <v>146</v>
      </c>
      <c r="G346" s="10" t="s">
        <v>582</v>
      </c>
      <c r="H346" s="13" t="s">
        <v>497</v>
      </c>
    </row>
    <row r="347" ht="22.5" customHeight="1">
      <c r="A347" s="7" t="s">
        <v>493</v>
      </c>
      <c r="B347" s="7" t="s">
        <v>584</v>
      </c>
      <c r="C347" s="8" t="s">
        <v>526</v>
      </c>
      <c r="D347" s="9" t="str">
        <f t="shared" si="11"/>
        <v>$114,750.00</v>
      </c>
      <c r="E347" s="9" t="str">
        <f t="shared" si="12"/>
        <v>$155,250.00</v>
      </c>
      <c r="F347" s="7" t="s">
        <v>146</v>
      </c>
      <c r="G347" s="10" t="s">
        <v>582</v>
      </c>
      <c r="H347" s="13" t="s">
        <v>497</v>
      </c>
    </row>
    <row r="348" ht="22.5" customHeight="1">
      <c r="A348" s="7" t="s">
        <v>493</v>
      </c>
      <c r="B348" s="7" t="s">
        <v>585</v>
      </c>
      <c r="C348" s="8" t="s">
        <v>577</v>
      </c>
      <c r="D348" s="9" t="str">
        <f t="shared" si="11"/>
        <v>$136,850.00</v>
      </c>
      <c r="E348" s="9" t="str">
        <f t="shared" si="12"/>
        <v>$185,150.00</v>
      </c>
      <c r="F348" s="7" t="s">
        <v>146</v>
      </c>
      <c r="G348" s="10" t="s">
        <v>582</v>
      </c>
      <c r="H348" s="13" t="s">
        <v>497</v>
      </c>
    </row>
    <row r="349" ht="22.5" customHeight="1">
      <c r="A349" s="7" t="s">
        <v>493</v>
      </c>
      <c r="B349" s="7" t="s">
        <v>586</v>
      </c>
      <c r="C349" s="8" t="s">
        <v>499</v>
      </c>
      <c r="D349" s="9" t="str">
        <f t="shared" si="11"/>
        <v>$138,550.00</v>
      </c>
      <c r="E349" s="9" t="str">
        <f t="shared" si="12"/>
        <v>$187,450.00</v>
      </c>
      <c r="F349" s="7" t="s">
        <v>146</v>
      </c>
      <c r="G349" s="10" t="s">
        <v>587</v>
      </c>
      <c r="H349" s="13" t="s">
        <v>497</v>
      </c>
    </row>
    <row r="350" ht="22.5" customHeight="1">
      <c r="A350" s="7" t="s">
        <v>493</v>
      </c>
      <c r="B350" s="7" t="s">
        <v>588</v>
      </c>
      <c r="C350" s="8" t="s">
        <v>526</v>
      </c>
      <c r="D350" s="9" t="str">
        <f t="shared" si="11"/>
        <v>$114,750.00</v>
      </c>
      <c r="E350" s="9" t="str">
        <f t="shared" si="12"/>
        <v>$155,250.00</v>
      </c>
      <c r="F350" s="7" t="s">
        <v>146</v>
      </c>
      <c r="G350" s="10" t="s">
        <v>589</v>
      </c>
      <c r="H350" s="13" t="s">
        <v>497</v>
      </c>
    </row>
    <row r="351" ht="22.5" customHeight="1">
      <c r="A351" s="7" t="s">
        <v>493</v>
      </c>
      <c r="B351" s="7" t="s">
        <v>590</v>
      </c>
      <c r="C351" s="8" t="s">
        <v>577</v>
      </c>
      <c r="D351" s="9" t="str">
        <f t="shared" si="11"/>
        <v>$136,850.00</v>
      </c>
      <c r="E351" s="9" t="str">
        <f t="shared" si="12"/>
        <v>$185,150.00</v>
      </c>
      <c r="F351" s="7" t="s">
        <v>146</v>
      </c>
      <c r="G351" s="10" t="s">
        <v>589</v>
      </c>
      <c r="H351" s="13" t="s">
        <v>497</v>
      </c>
    </row>
    <row r="352" ht="22.5" customHeight="1">
      <c r="A352" s="7" t="s">
        <v>493</v>
      </c>
      <c r="B352" s="7" t="s">
        <v>591</v>
      </c>
      <c r="C352" s="8" t="s">
        <v>592</v>
      </c>
      <c r="D352" s="9" t="str">
        <f t="shared" si="11"/>
        <v>$93,000.00</v>
      </c>
      <c r="E352" s="9" t="str">
        <f t="shared" si="12"/>
        <v>$125,000.00</v>
      </c>
      <c r="F352" s="7" t="s">
        <v>146</v>
      </c>
      <c r="G352" s="10" t="s">
        <v>593</v>
      </c>
      <c r="H352" s="13" t="s">
        <v>497</v>
      </c>
    </row>
    <row r="353" ht="22.5" customHeight="1">
      <c r="A353" s="7" t="s">
        <v>493</v>
      </c>
      <c r="B353" s="7" t="s">
        <v>594</v>
      </c>
      <c r="C353" s="8" t="s">
        <v>595</v>
      </c>
      <c r="D353" s="9" t="str">
        <f t="shared" si="11"/>
        <v>$115,000.00</v>
      </c>
      <c r="E353" s="9" t="str">
        <f t="shared" si="12"/>
        <v>$155,000.00</v>
      </c>
      <c r="F353" s="7" t="s">
        <v>146</v>
      </c>
      <c r="G353" s="10" t="s">
        <v>593</v>
      </c>
      <c r="H353" s="13" t="s">
        <v>497</v>
      </c>
    </row>
    <row r="354" ht="22.5" customHeight="1">
      <c r="A354" s="7" t="s">
        <v>493</v>
      </c>
      <c r="B354" s="7" t="s">
        <v>596</v>
      </c>
      <c r="C354" s="8" t="s">
        <v>597</v>
      </c>
      <c r="D354" s="9" t="str">
        <f t="shared" si="11"/>
        <v>$137,000.00</v>
      </c>
      <c r="E354" s="9" t="str">
        <f t="shared" si="12"/>
        <v>$185,000.00</v>
      </c>
      <c r="F354" s="7" t="s">
        <v>146</v>
      </c>
      <c r="G354" s="10" t="s">
        <v>593</v>
      </c>
      <c r="H354" s="13" t="s">
        <v>497</v>
      </c>
    </row>
    <row r="355" ht="22.5" customHeight="1">
      <c r="A355" s="7" t="s">
        <v>493</v>
      </c>
      <c r="B355" s="7" t="s">
        <v>598</v>
      </c>
      <c r="C355" s="8" t="s">
        <v>599</v>
      </c>
      <c r="D355" s="9" t="str">
        <f t="shared" si="11"/>
        <v>$130,900.00</v>
      </c>
      <c r="E355" s="9" t="str">
        <f t="shared" si="12"/>
        <v>$177,100.00</v>
      </c>
      <c r="F355" s="7" t="s">
        <v>146</v>
      </c>
      <c r="G355" s="10" t="s">
        <v>593</v>
      </c>
      <c r="H355" s="13" t="s">
        <v>497</v>
      </c>
    </row>
    <row r="356" ht="22.5" customHeight="1">
      <c r="A356" s="7" t="s">
        <v>493</v>
      </c>
      <c r="B356" s="7" t="s">
        <v>600</v>
      </c>
      <c r="C356" s="8" t="s">
        <v>577</v>
      </c>
      <c r="D356" s="9" t="str">
        <f t="shared" si="11"/>
        <v>$136,850.00</v>
      </c>
      <c r="E356" s="9" t="str">
        <f t="shared" si="12"/>
        <v>$185,150.00</v>
      </c>
      <c r="F356" s="7" t="s">
        <v>146</v>
      </c>
      <c r="G356" s="13" t="s">
        <v>601</v>
      </c>
      <c r="H356" s="13" t="s">
        <v>497</v>
      </c>
    </row>
    <row r="357" ht="22.5" customHeight="1">
      <c r="A357" s="7" t="s">
        <v>493</v>
      </c>
      <c r="B357" s="7" t="s">
        <v>602</v>
      </c>
      <c r="C357" s="8" t="s">
        <v>603</v>
      </c>
      <c r="D357" s="9" t="str">
        <f t="shared" si="11"/>
        <v>$104,550.00</v>
      </c>
      <c r="E357" s="9" t="str">
        <f t="shared" si="12"/>
        <v>$141,450.00</v>
      </c>
      <c r="F357" s="7" t="s">
        <v>146</v>
      </c>
      <c r="G357" s="13" t="s">
        <v>604</v>
      </c>
      <c r="H357" s="13" t="s">
        <v>497</v>
      </c>
    </row>
    <row r="358" ht="22.5" customHeight="1">
      <c r="A358" s="7" t="s">
        <v>493</v>
      </c>
      <c r="B358" s="7" t="s">
        <v>605</v>
      </c>
      <c r="C358" s="8" t="s">
        <v>606</v>
      </c>
      <c r="D358" s="9" t="str">
        <f t="shared" si="11"/>
        <v>$126,650.00</v>
      </c>
      <c r="E358" s="9" t="str">
        <f t="shared" si="12"/>
        <v>$171,350.00</v>
      </c>
      <c r="F358" s="7" t="s">
        <v>146</v>
      </c>
      <c r="G358" s="10" t="s">
        <v>604</v>
      </c>
      <c r="H358" s="13" t="s">
        <v>497</v>
      </c>
    </row>
    <row r="359" ht="22.5" customHeight="1">
      <c r="A359" s="7" t="s">
        <v>493</v>
      </c>
      <c r="B359" s="7" t="s">
        <v>607</v>
      </c>
      <c r="C359" s="8" t="s">
        <v>567</v>
      </c>
      <c r="D359" s="9" t="str">
        <f t="shared" si="11"/>
        <v>$102,850.00</v>
      </c>
      <c r="E359" s="9" t="str">
        <f t="shared" si="12"/>
        <v>$139,150.00</v>
      </c>
      <c r="F359" s="7" t="s">
        <v>146</v>
      </c>
      <c r="G359" s="10" t="s">
        <v>608</v>
      </c>
      <c r="H359" s="13" t="s">
        <v>497</v>
      </c>
    </row>
    <row r="360" ht="22.5" customHeight="1">
      <c r="A360" s="7" t="s">
        <v>493</v>
      </c>
      <c r="B360" s="7" t="s">
        <v>609</v>
      </c>
      <c r="C360" s="8" t="s">
        <v>610</v>
      </c>
      <c r="D360" s="9" t="str">
        <f t="shared" si="11"/>
        <v>$166,600.00</v>
      </c>
      <c r="E360" s="9" t="str">
        <f t="shared" si="12"/>
        <v>$225,400.00</v>
      </c>
      <c r="F360" s="7" t="s">
        <v>146</v>
      </c>
      <c r="G360" s="10" t="s">
        <v>611</v>
      </c>
      <c r="H360" s="13" t="s">
        <v>497</v>
      </c>
    </row>
    <row r="361" ht="22.5" customHeight="1">
      <c r="A361" s="7" t="s">
        <v>493</v>
      </c>
      <c r="B361" s="7" t="s">
        <v>612</v>
      </c>
      <c r="C361" s="8" t="s">
        <v>606</v>
      </c>
      <c r="D361" s="9" t="str">
        <f t="shared" si="11"/>
        <v>$126,650.00</v>
      </c>
      <c r="E361" s="9" t="str">
        <f t="shared" si="12"/>
        <v>$171,350.00</v>
      </c>
      <c r="F361" s="7" t="s">
        <v>146</v>
      </c>
      <c r="G361" s="10" t="s">
        <v>613</v>
      </c>
      <c r="H361" s="13" t="s">
        <v>497</v>
      </c>
    </row>
    <row r="362" ht="22.5" customHeight="1">
      <c r="A362" s="7" t="s">
        <v>493</v>
      </c>
      <c r="B362" s="7" t="s">
        <v>614</v>
      </c>
      <c r="C362" s="8" t="s">
        <v>615</v>
      </c>
      <c r="D362" s="9" t="str">
        <f t="shared" si="11"/>
        <v>$155,550.00</v>
      </c>
      <c r="E362" s="9" t="str">
        <f t="shared" si="12"/>
        <v>$210,450.00</v>
      </c>
      <c r="F362" s="7" t="s">
        <v>146</v>
      </c>
      <c r="G362" s="10" t="s">
        <v>613</v>
      </c>
      <c r="H362" s="13" t="s">
        <v>497</v>
      </c>
    </row>
    <row r="363" ht="22.5" customHeight="1">
      <c r="A363" s="7" t="s">
        <v>493</v>
      </c>
      <c r="B363" s="7" t="s">
        <v>616</v>
      </c>
      <c r="C363" s="8" t="s">
        <v>545</v>
      </c>
      <c r="D363" s="9" t="str">
        <f t="shared" si="11"/>
        <v>$105,400.00</v>
      </c>
      <c r="E363" s="9" t="str">
        <f t="shared" si="12"/>
        <v>$142,600.00</v>
      </c>
      <c r="F363" s="7" t="s">
        <v>146</v>
      </c>
      <c r="G363" s="10" t="s">
        <v>617</v>
      </c>
      <c r="H363" s="13" t="s">
        <v>497</v>
      </c>
    </row>
    <row r="364" ht="22.5" customHeight="1">
      <c r="A364" s="7" t="s">
        <v>493</v>
      </c>
      <c r="B364" s="7" t="s">
        <v>618</v>
      </c>
      <c r="C364" s="8" t="s">
        <v>495</v>
      </c>
      <c r="D364" s="9" t="str">
        <f t="shared" si="11"/>
        <v>$129,200.00</v>
      </c>
      <c r="E364" s="9" t="str">
        <f t="shared" si="12"/>
        <v>$174,800.00</v>
      </c>
      <c r="F364" s="7" t="s">
        <v>146</v>
      </c>
      <c r="G364" s="10" t="s">
        <v>617</v>
      </c>
      <c r="H364" s="13" t="s">
        <v>497</v>
      </c>
    </row>
    <row r="365" ht="22.5" customHeight="1">
      <c r="A365" s="7" t="s">
        <v>493</v>
      </c>
      <c r="B365" s="7" t="s">
        <v>619</v>
      </c>
      <c r="C365" s="8" t="s">
        <v>620</v>
      </c>
      <c r="D365" s="9" t="str">
        <f t="shared" si="11"/>
        <v>$92,650.00</v>
      </c>
      <c r="E365" s="9" t="str">
        <f t="shared" si="12"/>
        <v>$134,550.00</v>
      </c>
      <c r="F365" s="7" t="s">
        <v>146</v>
      </c>
      <c r="G365" s="10" t="s">
        <v>621</v>
      </c>
      <c r="H365" s="13" t="s">
        <v>497</v>
      </c>
    </row>
    <row r="366" ht="22.5" customHeight="1">
      <c r="A366" s="7" t="s">
        <v>493</v>
      </c>
      <c r="B366" s="7" t="s">
        <v>622</v>
      </c>
      <c r="C366" s="8" t="s">
        <v>623</v>
      </c>
      <c r="D366" s="9" t="str">
        <f t="shared" si="11"/>
        <v>$115,600.00</v>
      </c>
      <c r="E366" s="9" t="str">
        <f t="shared" si="12"/>
        <v>$167,900.00</v>
      </c>
      <c r="F366" s="7" t="s">
        <v>146</v>
      </c>
      <c r="G366" s="10" t="s">
        <v>621</v>
      </c>
      <c r="H366" s="13" t="s">
        <v>497</v>
      </c>
    </row>
    <row r="367" ht="22.5" customHeight="1">
      <c r="A367" s="7" t="s">
        <v>493</v>
      </c>
      <c r="B367" s="7" t="s">
        <v>624</v>
      </c>
      <c r="C367" s="8" t="s">
        <v>625</v>
      </c>
      <c r="D367" s="9" t="str">
        <f t="shared" si="11"/>
        <v>$130,900.00</v>
      </c>
      <c r="E367" s="9" t="str">
        <f t="shared" si="12"/>
        <v>$204,700.00</v>
      </c>
      <c r="F367" s="7" t="s">
        <v>146</v>
      </c>
      <c r="G367" s="10" t="s">
        <v>626</v>
      </c>
      <c r="H367" s="13" t="s">
        <v>497</v>
      </c>
    </row>
    <row r="368" ht="22.5" customHeight="1">
      <c r="A368" s="7" t="s">
        <v>493</v>
      </c>
      <c r="B368" s="7" t="s">
        <v>627</v>
      </c>
      <c r="C368" s="8" t="s">
        <v>628</v>
      </c>
      <c r="D368" s="9" t="str">
        <f t="shared" si="11"/>
        <v>$124,950.00</v>
      </c>
      <c r="E368" s="9" t="str">
        <f t="shared" si="12"/>
        <v>$194,350.00</v>
      </c>
      <c r="F368" s="7" t="s">
        <v>146</v>
      </c>
      <c r="G368" s="10" t="s">
        <v>629</v>
      </c>
      <c r="H368" s="13" t="s">
        <v>497</v>
      </c>
    </row>
    <row r="369" ht="22.5" customHeight="1">
      <c r="A369" s="7" t="s">
        <v>493</v>
      </c>
      <c r="B369" s="7" t="s">
        <v>630</v>
      </c>
      <c r="C369" s="8" t="s">
        <v>631</v>
      </c>
      <c r="D369" s="9" t="str">
        <f t="shared" si="11"/>
        <v>$174,250.00</v>
      </c>
      <c r="E369" s="9" t="str">
        <f t="shared" si="12"/>
        <v>$251,850.00</v>
      </c>
      <c r="F369" s="7" t="s">
        <v>146</v>
      </c>
      <c r="G369" s="10" t="s">
        <v>632</v>
      </c>
      <c r="H369" s="13" t="s">
        <v>497</v>
      </c>
    </row>
    <row r="370" ht="22.5" customHeight="1">
      <c r="A370" s="7" t="s">
        <v>493</v>
      </c>
      <c r="B370" s="7" t="s">
        <v>633</v>
      </c>
      <c r="C370" s="8" t="s">
        <v>634</v>
      </c>
      <c r="D370" s="9" t="str">
        <f t="shared" si="11"/>
        <v>$113,050.00</v>
      </c>
      <c r="E370" s="9" t="str">
        <f t="shared" si="12"/>
        <v>$163,300.00</v>
      </c>
      <c r="F370" s="7" t="s">
        <v>146</v>
      </c>
      <c r="G370" s="10" t="s">
        <v>635</v>
      </c>
      <c r="H370" s="13" t="s">
        <v>497</v>
      </c>
    </row>
    <row r="371" ht="22.5" customHeight="1">
      <c r="A371" s="7" t="s">
        <v>493</v>
      </c>
      <c r="B371" s="7" t="s">
        <v>636</v>
      </c>
      <c r="C371" s="8" t="s">
        <v>637</v>
      </c>
      <c r="D371" s="9" t="str">
        <f t="shared" si="11"/>
        <v>$141,000.00</v>
      </c>
      <c r="E371" s="9" t="str">
        <f t="shared" si="12"/>
        <v>$204,700.00</v>
      </c>
      <c r="F371" s="7" t="s">
        <v>146</v>
      </c>
      <c r="G371" s="10" t="s">
        <v>635</v>
      </c>
      <c r="H371" s="13" t="s">
        <v>497</v>
      </c>
    </row>
    <row r="372" ht="22.5" customHeight="1">
      <c r="A372" s="7" t="s">
        <v>493</v>
      </c>
      <c r="B372" s="7" t="s">
        <v>638</v>
      </c>
      <c r="C372" s="8" t="s">
        <v>639</v>
      </c>
      <c r="D372" s="9" t="str">
        <f t="shared" si="11"/>
        <v>$86,700.00</v>
      </c>
      <c r="E372" s="9" t="str">
        <f t="shared" si="12"/>
        <v>$123,350.00</v>
      </c>
      <c r="F372" s="7" t="s">
        <v>146</v>
      </c>
      <c r="G372" s="10" t="s">
        <v>640</v>
      </c>
      <c r="H372" s="13" t="s">
        <v>497</v>
      </c>
    </row>
    <row r="373" ht="22.5" customHeight="1">
      <c r="A373" s="7" t="s">
        <v>493</v>
      </c>
      <c r="B373" s="7" t="s">
        <v>641</v>
      </c>
      <c r="C373" s="8" t="s">
        <v>642</v>
      </c>
      <c r="D373" s="9" t="str">
        <f t="shared" si="11"/>
        <v>$102,600.00</v>
      </c>
      <c r="E373" s="9" t="str">
        <f t="shared" si="12"/>
        <v>$125,400.00</v>
      </c>
      <c r="F373" s="7" t="s">
        <v>146</v>
      </c>
      <c r="G373" s="10" t="s">
        <v>643</v>
      </c>
      <c r="H373" s="13" t="s">
        <v>497</v>
      </c>
    </row>
    <row r="374" ht="22.5" customHeight="1">
      <c r="A374" s="7" t="s">
        <v>493</v>
      </c>
      <c r="B374" s="7" t="s">
        <v>644</v>
      </c>
      <c r="C374" s="8" t="s">
        <v>645</v>
      </c>
      <c r="D374" s="9" t="str">
        <f t="shared" si="11"/>
        <v>$127,800.00</v>
      </c>
      <c r="E374" s="9" t="str">
        <f t="shared" si="12"/>
        <v>$156,200.00</v>
      </c>
      <c r="F374" s="7" t="s">
        <v>146</v>
      </c>
      <c r="G374" s="10" t="s">
        <v>643</v>
      </c>
      <c r="H374" s="13" t="s">
        <v>497</v>
      </c>
    </row>
    <row r="375" ht="22.5" customHeight="1">
      <c r="A375" s="7" t="s">
        <v>493</v>
      </c>
      <c r="B375" s="7" t="s">
        <v>641</v>
      </c>
      <c r="C375" s="8" t="s">
        <v>642</v>
      </c>
      <c r="D375" s="9" t="str">
        <f t="shared" si="11"/>
        <v>$102,600.00</v>
      </c>
      <c r="E375" s="9" t="str">
        <f t="shared" si="12"/>
        <v>$125,400.00</v>
      </c>
      <c r="F375" s="7" t="s">
        <v>146</v>
      </c>
      <c r="G375" s="10" t="s">
        <v>646</v>
      </c>
      <c r="H375" s="13" t="s">
        <v>497</v>
      </c>
    </row>
    <row r="376" ht="22.5" customHeight="1">
      <c r="A376" s="7" t="s">
        <v>493</v>
      </c>
      <c r="B376" s="7" t="s">
        <v>644</v>
      </c>
      <c r="C376" s="8" t="s">
        <v>645</v>
      </c>
      <c r="D376" s="9" t="str">
        <f t="shared" si="11"/>
        <v>$127,800.00</v>
      </c>
      <c r="E376" s="9" t="str">
        <f t="shared" si="12"/>
        <v>$156,200.00</v>
      </c>
      <c r="F376" s="7" t="s">
        <v>146</v>
      </c>
      <c r="G376" s="10" t="s">
        <v>646</v>
      </c>
      <c r="H376" s="13" t="s">
        <v>497</v>
      </c>
    </row>
    <row r="377" ht="22.5" customHeight="1">
      <c r="A377" s="7" t="s">
        <v>493</v>
      </c>
      <c r="B377" s="7" t="s">
        <v>638</v>
      </c>
      <c r="C377" s="8" t="s">
        <v>639</v>
      </c>
      <c r="D377" s="9" t="str">
        <f t="shared" si="11"/>
        <v>$86,700.00</v>
      </c>
      <c r="E377" s="9" t="str">
        <f t="shared" si="12"/>
        <v>$123,350.00</v>
      </c>
      <c r="F377" s="7" t="s">
        <v>146</v>
      </c>
      <c r="G377" s="10" t="s">
        <v>647</v>
      </c>
      <c r="H377" s="13" t="s">
        <v>497</v>
      </c>
    </row>
    <row r="378" ht="22.5" customHeight="1">
      <c r="A378" s="7" t="s">
        <v>493</v>
      </c>
      <c r="B378" s="7" t="s">
        <v>648</v>
      </c>
      <c r="C378" s="8" t="s">
        <v>634</v>
      </c>
      <c r="D378" s="9" t="str">
        <f t="shared" si="11"/>
        <v>$113,050.00</v>
      </c>
      <c r="E378" s="9" t="str">
        <f t="shared" si="12"/>
        <v>$163,300.00</v>
      </c>
      <c r="F378" s="7" t="s">
        <v>146</v>
      </c>
      <c r="G378" s="10" t="s">
        <v>649</v>
      </c>
      <c r="H378" s="13" t="s">
        <v>497</v>
      </c>
    </row>
    <row r="379" ht="22.5" customHeight="1">
      <c r="A379" s="7" t="s">
        <v>493</v>
      </c>
      <c r="B379" s="7" t="s">
        <v>650</v>
      </c>
      <c r="C379" s="8" t="s">
        <v>651</v>
      </c>
      <c r="D379" s="9" t="str">
        <f t="shared" si="11"/>
        <v>$97,750.00</v>
      </c>
      <c r="E379" s="9" t="str">
        <f t="shared" si="12"/>
        <v>$152,950.00</v>
      </c>
      <c r="F379" s="7" t="s">
        <v>146</v>
      </c>
      <c r="G379" s="10" t="s">
        <v>652</v>
      </c>
      <c r="H379" s="13" t="s">
        <v>497</v>
      </c>
    </row>
    <row r="380" ht="22.5" customHeight="1">
      <c r="A380" s="7" t="s">
        <v>493</v>
      </c>
      <c r="B380" s="7" t="s">
        <v>653</v>
      </c>
      <c r="C380" s="8" t="s">
        <v>526</v>
      </c>
      <c r="D380" s="9" t="str">
        <f t="shared" si="11"/>
        <v>$114,750.00</v>
      </c>
      <c r="E380" s="9" t="str">
        <f t="shared" si="12"/>
        <v>$155,250.00</v>
      </c>
      <c r="F380" s="7" t="s">
        <v>146</v>
      </c>
      <c r="G380" s="10" t="s">
        <v>654</v>
      </c>
      <c r="H380" s="13" t="s">
        <v>497</v>
      </c>
    </row>
    <row r="381" ht="22.5" customHeight="1">
      <c r="A381" s="7" t="s">
        <v>493</v>
      </c>
      <c r="B381" s="7" t="s">
        <v>655</v>
      </c>
      <c r="C381" s="8" t="s">
        <v>499</v>
      </c>
      <c r="D381" s="9" t="str">
        <f t="shared" si="11"/>
        <v>$138,550.00</v>
      </c>
      <c r="E381" s="9" t="str">
        <f t="shared" si="12"/>
        <v>$187,450.00</v>
      </c>
      <c r="F381" s="7" t="s">
        <v>146</v>
      </c>
      <c r="G381" s="10" t="s">
        <v>654</v>
      </c>
      <c r="H381" s="13" t="s">
        <v>497</v>
      </c>
    </row>
    <row r="382" ht="22.5" customHeight="1">
      <c r="A382" s="7" t="s">
        <v>493</v>
      </c>
      <c r="B382" s="7" t="s">
        <v>656</v>
      </c>
      <c r="C382" s="8" t="s">
        <v>502</v>
      </c>
      <c r="D382" s="9" t="str">
        <f t="shared" si="11"/>
        <v>$165,750.00</v>
      </c>
      <c r="E382" s="9" t="str">
        <f t="shared" si="12"/>
        <v>$224,250.00</v>
      </c>
      <c r="F382" s="7" t="s">
        <v>146</v>
      </c>
      <c r="G382" s="10" t="s">
        <v>654</v>
      </c>
      <c r="H382" s="13" t="s">
        <v>497</v>
      </c>
    </row>
    <row r="383" ht="22.5" customHeight="1">
      <c r="A383" s="7" t="s">
        <v>493</v>
      </c>
      <c r="B383" s="7" t="s">
        <v>657</v>
      </c>
      <c r="C383" s="8" t="s">
        <v>658</v>
      </c>
      <c r="D383" s="9" t="str">
        <f t="shared" si="11"/>
        <v>$123,250.00</v>
      </c>
      <c r="E383" s="9" t="str">
        <f t="shared" si="12"/>
        <v>$208,750.00</v>
      </c>
      <c r="F383" s="7" t="s">
        <v>146</v>
      </c>
      <c r="G383" s="10" t="s">
        <v>659</v>
      </c>
      <c r="H383" s="13" t="s">
        <v>497</v>
      </c>
    </row>
    <row r="384" ht="22.5" customHeight="1">
      <c r="A384" s="7" t="s">
        <v>493</v>
      </c>
      <c r="B384" s="7" t="s">
        <v>660</v>
      </c>
      <c r="C384" s="8" t="s">
        <v>661</v>
      </c>
      <c r="D384" s="9" t="str">
        <f t="shared" si="11"/>
        <v>$148,750.00</v>
      </c>
      <c r="E384" s="9" t="str">
        <f t="shared" si="12"/>
        <v>$251,250.00</v>
      </c>
      <c r="F384" s="7" t="s">
        <v>146</v>
      </c>
      <c r="G384" s="10" t="s">
        <v>659</v>
      </c>
      <c r="H384" s="13" t="s">
        <v>497</v>
      </c>
    </row>
    <row r="385" ht="22.5" customHeight="1">
      <c r="A385" s="7" t="s">
        <v>493</v>
      </c>
      <c r="B385" s="7" t="s">
        <v>662</v>
      </c>
      <c r="C385" s="8" t="s">
        <v>661</v>
      </c>
      <c r="D385" s="9" t="str">
        <f t="shared" si="11"/>
        <v>$148,750.00</v>
      </c>
      <c r="E385" s="9" t="str">
        <f t="shared" si="12"/>
        <v>$251,250.00</v>
      </c>
      <c r="F385" s="7" t="s">
        <v>146</v>
      </c>
      <c r="G385" s="10" t="s">
        <v>663</v>
      </c>
      <c r="H385" s="13" t="s">
        <v>497</v>
      </c>
    </row>
    <row r="386" ht="22.5" customHeight="1">
      <c r="A386" s="7" t="s">
        <v>493</v>
      </c>
      <c r="B386" s="7" t="s">
        <v>664</v>
      </c>
      <c r="C386" s="8" t="s">
        <v>665</v>
      </c>
      <c r="D386" s="9" t="str">
        <f t="shared" si="11"/>
        <v>$174,250.00</v>
      </c>
      <c r="E386" s="9" t="str">
        <f t="shared" si="12"/>
        <v>$293,750.00</v>
      </c>
      <c r="F386" s="7" t="s">
        <v>146</v>
      </c>
      <c r="G386" s="10" t="s">
        <v>663</v>
      </c>
      <c r="H386" s="13" t="s">
        <v>497</v>
      </c>
    </row>
    <row r="387" ht="22.5" customHeight="1">
      <c r="A387" s="7" t="s">
        <v>493</v>
      </c>
      <c r="B387" s="7" t="s">
        <v>666</v>
      </c>
      <c r="C387" s="8" t="s">
        <v>667</v>
      </c>
      <c r="D387" s="9" t="str">
        <f t="shared" si="11"/>
        <v>$124,950.00</v>
      </c>
      <c r="E387" s="9" t="str">
        <f t="shared" si="12"/>
        <v>$211,250.00</v>
      </c>
      <c r="F387" s="7" t="s">
        <v>146</v>
      </c>
      <c r="G387" s="10" t="s">
        <v>668</v>
      </c>
      <c r="H387" s="13" t="s">
        <v>497</v>
      </c>
    </row>
    <row r="388" ht="22.5" customHeight="1">
      <c r="A388" s="7" t="s">
        <v>493</v>
      </c>
      <c r="B388" s="7" t="s">
        <v>662</v>
      </c>
      <c r="C388" s="8" t="s">
        <v>661</v>
      </c>
      <c r="D388" s="9" t="str">
        <f t="shared" si="11"/>
        <v>$148,750.00</v>
      </c>
      <c r="E388" s="9" t="str">
        <f t="shared" si="12"/>
        <v>$251,250.00</v>
      </c>
      <c r="F388" s="7" t="s">
        <v>146</v>
      </c>
      <c r="G388" s="10" t="s">
        <v>669</v>
      </c>
      <c r="H388" s="13" t="s">
        <v>497</v>
      </c>
    </row>
    <row r="389" ht="22.5" customHeight="1">
      <c r="A389" s="7" t="s">
        <v>493</v>
      </c>
      <c r="B389" s="7" t="s">
        <v>664</v>
      </c>
      <c r="C389" s="8" t="s">
        <v>665</v>
      </c>
      <c r="D389" s="9" t="str">
        <f t="shared" si="11"/>
        <v>$174,250.00</v>
      </c>
      <c r="E389" s="9" t="str">
        <f t="shared" si="12"/>
        <v>$293,750.00</v>
      </c>
      <c r="F389" s="7" t="s">
        <v>146</v>
      </c>
      <c r="G389" s="10" t="s">
        <v>669</v>
      </c>
      <c r="H389" s="13" t="s">
        <v>497</v>
      </c>
    </row>
    <row r="390" ht="22.5" customHeight="1">
      <c r="A390" s="7" t="s">
        <v>493</v>
      </c>
      <c r="B390" s="7" t="s">
        <v>670</v>
      </c>
      <c r="C390" s="8" t="s">
        <v>661</v>
      </c>
      <c r="D390" s="9" t="str">
        <f t="shared" si="11"/>
        <v>$148,750.00</v>
      </c>
      <c r="E390" s="9" t="str">
        <f t="shared" si="12"/>
        <v>$251,250.00</v>
      </c>
      <c r="F390" s="7" t="s">
        <v>146</v>
      </c>
      <c r="G390" s="10" t="s">
        <v>671</v>
      </c>
      <c r="H390" s="13" t="s">
        <v>497</v>
      </c>
    </row>
    <row r="391" ht="22.5" customHeight="1">
      <c r="A391" s="7" t="s">
        <v>493</v>
      </c>
      <c r="B391" s="7" t="s">
        <v>672</v>
      </c>
      <c r="C391" s="8" t="s">
        <v>665</v>
      </c>
      <c r="D391" s="9" t="str">
        <f t="shared" si="11"/>
        <v>$174,250.00</v>
      </c>
      <c r="E391" s="9" t="str">
        <f t="shared" si="12"/>
        <v>$293,750.00</v>
      </c>
      <c r="F391" s="7" t="s">
        <v>146</v>
      </c>
      <c r="G391" s="10" t="s">
        <v>671</v>
      </c>
      <c r="H391" s="13" t="s">
        <v>497</v>
      </c>
    </row>
    <row r="392" ht="22.5" customHeight="1">
      <c r="A392" s="7" t="s">
        <v>493</v>
      </c>
      <c r="B392" s="7" t="s">
        <v>673</v>
      </c>
      <c r="C392" s="8" t="s">
        <v>674</v>
      </c>
      <c r="D392" s="9" t="str">
        <f t="shared" si="11"/>
        <v>$170,000.00</v>
      </c>
      <c r="E392" s="9" t="str">
        <f t="shared" si="12"/>
        <v>$246,100.00</v>
      </c>
      <c r="F392" s="7" t="s">
        <v>146</v>
      </c>
      <c r="G392" s="10" t="s">
        <v>675</v>
      </c>
      <c r="H392" s="13" t="s">
        <v>497</v>
      </c>
    </row>
    <row r="393" ht="22.5" customHeight="1">
      <c r="A393" s="7" t="s">
        <v>493</v>
      </c>
      <c r="B393" s="7" t="s">
        <v>676</v>
      </c>
      <c r="C393" s="8" t="s">
        <v>677</v>
      </c>
      <c r="D393" s="9" t="str">
        <f t="shared" si="11"/>
        <v>$146,200.00</v>
      </c>
      <c r="E393" s="9" t="str">
        <f t="shared" si="12"/>
        <v>$227,700.00</v>
      </c>
      <c r="F393" s="7" t="s">
        <v>146</v>
      </c>
      <c r="G393" s="10" t="s">
        <v>678</v>
      </c>
      <c r="H393" s="13" t="s">
        <v>497</v>
      </c>
    </row>
    <row r="394" ht="22.5" customHeight="1">
      <c r="A394" s="7" t="s">
        <v>493</v>
      </c>
      <c r="B394" s="7" t="s">
        <v>679</v>
      </c>
      <c r="C394" s="8" t="s">
        <v>680</v>
      </c>
      <c r="D394" s="9" t="str">
        <f t="shared" si="11"/>
        <v>$107,100.00</v>
      </c>
      <c r="E394" s="9" t="str">
        <f t="shared" si="12"/>
        <v>$155,250.00</v>
      </c>
      <c r="F394" s="7" t="s">
        <v>146</v>
      </c>
      <c r="G394" s="10" t="s">
        <v>681</v>
      </c>
      <c r="H394" s="13" t="s">
        <v>497</v>
      </c>
    </row>
    <row r="395" ht="22.5" customHeight="1">
      <c r="A395" s="7" t="s">
        <v>493</v>
      </c>
      <c r="B395" s="7" t="s">
        <v>682</v>
      </c>
      <c r="C395" s="8" t="s">
        <v>683</v>
      </c>
      <c r="D395" s="9" t="str">
        <f t="shared" si="11"/>
        <v>$129,200.00</v>
      </c>
      <c r="E395" s="9" t="str">
        <f t="shared" si="12"/>
        <v>$187,450.00</v>
      </c>
      <c r="F395" s="7" t="s">
        <v>146</v>
      </c>
      <c r="G395" s="10" t="s">
        <v>681</v>
      </c>
      <c r="H395" s="13" t="s">
        <v>497</v>
      </c>
    </row>
    <row r="396" ht="22.5" customHeight="1">
      <c r="A396" s="7" t="s">
        <v>493</v>
      </c>
      <c r="B396" s="7" t="s">
        <v>684</v>
      </c>
      <c r="C396" s="8" t="s">
        <v>685</v>
      </c>
      <c r="D396" s="9" t="str">
        <f t="shared" si="11"/>
        <v>$154,700.00</v>
      </c>
      <c r="E396" s="9" t="str">
        <f t="shared" si="12"/>
        <v>$224,250.00</v>
      </c>
      <c r="F396" s="7" t="s">
        <v>146</v>
      </c>
      <c r="G396" s="10" t="s">
        <v>681</v>
      </c>
      <c r="H396" s="13" t="s">
        <v>497</v>
      </c>
    </row>
    <row r="397" ht="22.5" customHeight="1">
      <c r="A397" s="7" t="s">
        <v>493</v>
      </c>
      <c r="B397" s="7" t="s">
        <v>686</v>
      </c>
      <c r="C397" s="8" t="s">
        <v>687</v>
      </c>
      <c r="D397" s="9" t="str">
        <f t="shared" si="11"/>
        <v>$116,450.00</v>
      </c>
      <c r="E397" s="9" t="str">
        <f t="shared" si="12"/>
        <v>$157,550.00</v>
      </c>
      <c r="F397" s="7" t="s">
        <v>146</v>
      </c>
      <c r="G397" s="10" t="s">
        <v>688</v>
      </c>
      <c r="H397" s="13" t="s">
        <v>497</v>
      </c>
    </row>
    <row r="398" ht="22.5" customHeight="1">
      <c r="A398" s="7" t="s">
        <v>493</v>
      </c>
      <c r="B398" s="7" t="s">
        <v>689</v>
      </c>
      <c r="C398" s="8" t="s">
        <v>690</v>
      </c>
      <c r="D398" s="9" t="str">
        <f t="shared" si="11"/>
        <v>$77,350.00</v>
      </c>
      <c r="E398" s="9" t="str">
        <f t="shared" si="12"/>
        <v>$104,650.00</v>
      </c>
      <c r="F398" s="7" t="s">
        <v>146</v>
      </c>
      <c r="G398" s="10" t="s">
        <v>691</v>
      </c>
      <c r="H398" s="13" t="s">
        <v>497</v>
      </c>
    </row>
    <row r="399" ht="22.5" customHeight="1">
      <c r="A399" s="7" t="s">
        <v>493</v>
      </c>
      <c r="B399" s="7" t="s">
        <v>692</v>
      </c>
      <c r="C399" s="8" t="s">
        <v>526</v>
      </c>
      <c r="D399" s="9" t="str">
        <f t="shared" si="11"/>
        <v>$114,750.00</v>
      </c>
      <c r="E399" s="9" t="str">
        <f t="shared" si="12"/>
        <v>$155,250.00</v>
      </c>
      <c r="F399" s="7" t="s">
        <v>146</v>
      </c>
      <c r="G399" s="10" t="s">
        <v>693</v>
      </c>
      <c r="H399" s="13" t="s">
        <v>497</v>
      </c>
    </row>
    <row r="400" ht="22.5" customHeight="1">
      <c r="A400" s="7" t="s">
        <v>493</v>
      </c>
      <c r="B400" s="7" t="s">
        <v>694</v>
      </c>
      <c r="C400" s="8" t="s">
        <v>499</v>
      </c>
      <c r="D400" s="9" t="str">
        <f t="shared" si="11"/>
        <v>$138,550.00</v>
      </c>
      <c r="E400" s="9" t="str">
        <f t="shared" si="12"/>
        <v>$187,450.00</v>
      </c>
      <c r="F400" s="7" t="s">
        <v>146</v>
      </c>
      <c r="G400" s="10" t="s">
        <v>693</v>
      </c>
      <c r="H400" s="13" t="s">
        <v>497</v>
      </c>
    </row>
    <row r="401" ht="22.5" customHeight="1">
      <c r="A401" s="7" t="s">
        <v>493</v>
      </c>
      <c r="B401" s="7" t="s">
        <v>695</v>
      </c>
      <c r="C401" s="8" t="s">
        <v>502</v>
      </c>
      <c r="D401" s="9" t="str">
        <f t="shared" si="11"/>
        <v>$165,750.00</v>
      </c>
      <c r="E401" s="9" t="str">
        <f t="shared" si="12"/>
        <v>$224,250.00</v>
      </c>
      <c r="F401" s="7" t="s">
        <v>146</v>
      </c>
      <c r="G401" s="10" t="s">
        <v>693</v>
      </c>
      <c r="H401" s="13" t="s">
        <v>497</v>
      </c>
    </row>
    <row r="402" ht="22.5" customHeight="1">
      <c r="A402" s="7" t="s">
        <v>493</v>
      </c>
      <c r="B402" s="7" t="s">
        <v>696</v>
      </c>
      <c r="C402" s="8" t="s">
        <v>697</v>
      </c>
      <c r="D402" s="9" t="str">
        <f t="shared" si="11"/>
        <v>$147,050.00</v>
      </c>
      <c r="E402" s="9" t="str">
        <f t="shared" si="12"/>
        <v>$198,950.00</v>
      </c>
      <c r="F402" s="7" t="s">
        <v>146</v>
      </c>
      <c r="G402" s="10" t="s">
        <v>698</v>
      </c>
      <c r="H402" s="13" t="s">
        <v>497</v>
      </c>
    </row>
    <row r="403" ht="22.5" customHeight="1">
      <c r="A403" s="7" t="s">
        <v>493</v>
      </c>
      <c r="B403" s="7" t="s">
        <v>699</v>
      </c>
      <c r="C403" s="8" t="s">
        <v>700</v>
      </c>
      <c r="D403" s="9" t="str">
        <f t="shared" si="11"/>
        <v>$73,950.00</v>
      </c>
      <c r="E403" s="9" t="str">
        <f t="shared" si="12"/>
        <v>$100,050.00</v>
      </c>
      <c r="F403" s="7" t="s">
        <v>146</v>
      </c>
      <c r="G403" s="10" t="s">
        <v>701</v>
      </c>
      <c r="H403" s="13" t="s">
        <v>497</v>
      </c>
    </row>
    <row r="404" ht="22.5" customHeight="1">
      <c r="A404" s="7" t="s">
        <v>493</v>
      </c>
      <c r="B404" s="7" t="s">
        <v>702</v>
      </c>
      <c r="C404" s="8" t="s">
        <v>703</v>
      </c>
      <c r="D404" s="9" t="str">
        <f t="shared" si="11"/>
        <v>$90,950.00</v>
      </c>
      <c r="E404" s="9" t="str">
        <f t="shared" si="12"/>
        <v>$123,050.00</v>
      </c>
      <c r="F404" s="7" t="s">
        <v>146</v>
      </c>
      <c r="G404" s="10" t="s">
        <v>704</v>
      </c>
      <c r="H404" s="13" t="s">
        <v>497</v>
      </c>
    </row>
    <row r="405" ht="22.5" customHeight="1">
      <c r="A405" s="7" t="s">
        <v>493</v>
      </c>
      <c r="B405" s="7" t="s">
        <v>705</v>
      </c>
      <c r="C405" s="8" t="s">
        <v>706</v>
      </c>
      <c r="D405" s="9" t="str">
        <f t="shared" si="11"/>
        <v>$212,500.00</v>
      </c>
      <c r="E405" s="9" t="str">
        <f t="shared" si="12"/>
        <v>$287,500.00</v>
      </c>
      <c r="F405" s="7" t="s">
        <v>146</v>
      </c>
      <c r="G405" s="10" t="s">
        <v>707</v>
      </c>
      <c r="H405" s="13" t="s">
        <v>497</v>
      </c>
    </row>
    <row r="406" ht="22.5" customHeight="1">
      <c r="A406" s="7" t="s">
        <v>493</v>
      </c>
      <c r="B406" s="7" t="s">
        <v>708</v>
      </c>
      <c r="C406" s="8" t="s">
        <v>545</v>
      </c>
      <c r="D406" s="9" t="str">
        <f t="shared" si="11"/>
        <v>$105,400.00</v>
      </c>
      <c r="E406" s="9" t="str">
        <f t="shared" si="12"/>
        <v>$142,600.00</v>
      </c>
      <c r="F406" s="7" t="s">
        <v>146</v>
      </c>
      <c r="G406" s="10" t="s">
        <v>709</v>
      </c>
      <c r="H406" s="13" t="s">
        <v>497</v>
      </c>
    </row>
    <row r="407" ht="22.5" customHeight="1">
      <c r="A407" s="7" t="s">
        <v>493</v>
      </c>
      <c r="B407" s="7" t="s">
        <v>710</v>
      </c>
      <c r="C407" s="8" t="s">
        <v>711</v>
      </c>
      <c r="D407" s="9" t="str">
        <f t="shared" si="11"/>
        <v>$131,750.00</v>
      </c>
      <c r="E407" s="9" t="str">
        <f t="shared" si="12"/>
        <v>$178,250.00</v>
      </c>
      <c r="F407" s="7" t="s">
        <v>146</v>
      </c>
      <c r="G407" s="10" t="s">
        <v>709</v>
      </c>
      <c r="H407" s="13" t="s">
        <v>497</v>
      </c>
    </row>
    <row r="408" ht="22.5" customHeight="1">
      <c r="A408" s="7" t="s">
        <v>493</v>
      </c>
      <c r="B408" s="7" t="s">
        <v>712</v>
      </c>
      <c r="C408" s="8" t="s">
        <v>713</v>
      </c>
      <c r="D408" s="9" t="str">
        <f t="shared" si="11"/>
        <v>$144,500.00</v>
      </c>
      <c r="E408" s="9" t="str">
        <f t="shared" si="12"/>
        <v>$209,300.00</v>
      </c>
      <c r="F408" s="7" t="s">
        <v>146</v>
      </c>
      <c r="G408" s="10" t="s">
        <v>714</v>
      </c>
      <c r="H408" s="13" t="s">
        <v>497</v>
      </c>
    </row>
    <row r="409" ht="22.5" customHeight="1">
      <c r="A409" s="7" t="s">
        <v>493</v>
      </c>
      <c r="B409" s="7" t="s">
        <v>715</v>
      </c>
      <c r="C409" s="8" t="s">
        <v>716</v>
      </c>
      <c r="D409" s="9" t="str">
        <f t="shared" si="11"/>
        <v>$86,700.00</v>
      </c>
      <c r="E409" s="9" t="str">
        <f t="shared" si="12"/>
        <v>$117,300.00</v>
      </c>
      <c r="F409" s="7" t="s">
        <v>146</v>
      </c>
      <c r="G409" s="10" t="s">
        <v>717</v>
      </c>
      <c r="H409" s="13" t="s">
        <v>497</v>
      </c>
    </row>
    <row r="410" ht="22.5" customHeight="1">
      <c r="A410" s="7" t="s">
        <v>493</v>
      </c>
      <c r="B410" s="7" t="s">
        <v>718</v>
      </c>
      <c r="C410" s="8" t="s">
        <v>719</v>
      </c>
      <c r="D410" s="9" t="str">
        <f t="shared" si="11"/>
        <v>$107,100.00</v>
      </c>
      <c r="E410" s="9" t="str">
        <f t="shared" si="12"/>
        <v>$144,900.00</v>
      </c>
      <c r="F410" s="7" t="s">
        <v>146</v>
      </c>
      <c r="G410" s="10" t="s">
        <v>717</v>
      </c>
      <c r="H410" s="13" t="s">
        <v>497</v>
      </c>
    </row>
    <row r="411" ht="22.5" customHeight="1">
      <c r="A411" s="7" t="s">
        <v>493</v>
      </c>
      <c r="B411" s="7" t="s">
        <v>720</v>
      </c>
      <c r="C411" s="8" t="s">
        <v>567</v>
      </c>
      <c r="D411" s="9" t="str">
        <f t="shared" si="11"/>
        <v>$102,850.00</v>
      </c>
      <c r="E411" s="9" t="str">
        <f t="shared" si="12"/>
        <v>$139,150.00</v>
      </c>
      <c r="F411" s="7" t="s">
        <v>146</v>
      </c>
      <c r="G411" s="10" t="s">
        <v>721</v>
      </c>
      <c r="H411" s="13" t="s">
        <v>497</v>
      </c>
    </row>
    <row r="412" ht="22.5" customHeight="1">
      <c r="A412" s="7" t="s">
        <v>493</v>
      </c>
      <c r="B412" s="7" t="s">
        <v>722</v>
      </c>
      <c r="C412" s="8" t="s">
        <v>723</v>
      </c>
      <c r="D412" s="9" t="str">
        <f t="shared" si="11"/>
        <v>$80,000.00</v>
      </c>
      <c r="E412" s="9" t="str">
        <f t="shared" si="12"/>
        <v>$86,500.00</v>
      </c>
      <c r="F412" s="7" t="s">
        <v>146</v>
      </c>
      <c r="G412" s="10" t="s">
        <v>724</v>
      </c>
      <c r="H412" s="13" t="s">
        <v>497</v>
      </c>
    </row>
    <row r="413" ht="22.5" customHeight="1">
      <c r="A413" s="7" t="s">
        <v>493</v>
      </c>
      <c r="B413" s="7" t="s">
        <v>725</v>
      </c>
      <c r="C413" s="8" t="s">
        <v>642</v>
      </c>
      <c r="D413" s="9" t="str">
        <f t="shared" si="11"/>
        <v>$102,600.00</v>
      </c>
      <c r="E413" s="9" t="str">
        <f t="shared" si="12"/>
        <v>$125,400.00</v>
      </c>
      <c r="F413" s="7" t="s">
        <v>146</v>
      </c>
      <c r="G413" s="10" t="s">
        <v>726</v>
      </c>
      <c r="H413" s="13" t="s">
        <v>497</v>
      </c>
    </row>
    <row r="414" ht="22.5" customHeight="1">
      <c r="A414" s="7" t="s">
        <v>493</v>
      </c>
      <c r="B414" s="7" t="s">
        <v>727</v>
      </c>
      <c r="C414" s="8" t="s">
        <v>623</v>
      </c>
      <c r="D414" s="9" t="str">
        <f t="shared" si="11"/>
        <v>$115,600.00</v>
      </c>
      <c r="E414" s="9" t="str">
        <f t="shared" si="12"/>
        <v>$167,900.00</v>
      </c>
      <c r="F414" s="7" t="s">
        <v>146</v>
      </c>
      <c r="G414" s="10" t="s">
        <v>728</v>
      </c>
      <c r="H414" s="13" t="s">
        <v>497</v>
      </c>
    </row>
    <row r="415" ht="22.5" customHeight="1">
      <c r="A415" s="7" t="s">
        <v>493</v>
      </c>
      <c r="B415" s="7" t="s">
        <v>729</v>
      </c>
      <c r="C415" s="8" t="s">
        <v>730</v>
      </c>
      <c r="D415" s="9" t="str">
        <f t="shared" si="11"/>
        <v>$174,250.00</v>
      </c>
      <c r="E415" s="9" t="str">
        <f t="shared" si="12"/>
        <v>$235,750.00</v>
      </c>
      <c r="F415" s="7" t="s">
        <v>146</v>
      </c>
      <c r="G415" s="10" t="s">
        <v>731</v>
      </c>
      <c r="H415" s="13" t="s">
        <v>497</v>
      </c>
    </row>
    <row r="416" ht="22.5" customHeight="1">
      <c r="A416" s="7" t="s">
        <v>493</v>
      </c>
      <c r="B416" s="7" t="s">
        <v>732</v>
      </c>
      <c r="C416" s="8" t="s">
        <v>733</v>
      </c>
      <c r="D416" s="9" t="str">
        <f t="shared" si="11"/>
        <v>$118,150.00</v>
      </c>
      <c r="E416" s="9" t="str">
        <f t="shared" si="12"/>
        <v>$171,350.00</v>
      </c>
      <c r="F416" s="7" t="s">
        <v>146</v>
      </c>
      <c r="G416" s="10" t="s">
        <v>734</v>
      </c>
      <c r="H416" s="13" t="s">
        <v>497</v>
      </c>
    </row>
    <row r="417" ht="22.5" customHeight="1">
      <c r="A417" s="7" t="s">
        <v>493</v>
      </c>
      <c r="B417" s="7" t="s">
        <v>735</v>
      </c>
      <c r="C417" s="8" t="s">
        <v>736</v>
      </c>
      <c r="D417" s="9" t="str">
        <f t="shared" si="11"/>
        <v>$136,000.00</v>
      </c>
      <c r="E417" s="9" t="str">
        <f t="shared" si="12"/>
        <v>$196,650.00</v>
      </c>
      <c r="F417" s="7" t="s">
        <v>146</v>
      </c>
      <c r="G417" s="10" t="s">
        <v>734</v>
      </c>
      <c r="H417" s="13" t="s">
        <v>497</v>
      </c>
    </row>
    <row r="418" ht="22.5" customHeight="1">
      <c r="A418" s="7" t="s">
        <v>493</v>
      </c>
      <c r="B418" s="7" t="s">
        <v>737</v>
      </c>
      <c r="C418" s="8" t="s">
        <v>510</v>
      </c>
      <c r="D418" s="9" t="str">
        <f t="shared" si="11"/>
        <v>$89,250.00</v>
      </c>
      <c r="E418" s="9" t="str">
        <f t="shared" si="12"/>
        <v>$120,750.00</v>
      </c>
      <c r="F418" s="7" t="s">
        <v>146</v>
      </c>
      <c r="G418" s="10" t="s">
        <v>738</v>
      </c>
      <c r="H418" s="13" t="s">
        <v>497</v>
      </c>
    </row>
    <row r="419" ht="22.5" customHeight="1">
      <c r="A419" s="7" t="s">
        <v>493</v>
      </c>
      <c r="B419" s="7" t="s">
        <v>739</v>
      </c>
      <c r="C419" s="8" t="s">
        <v>545</v>
      </c>
      <c r="D419" s="9" t="str">
        <f t="shared" si="11"/>
        <v>$105,400.00</v>
      </c>
      <c r="E419" s="9" t="str">
        <f t="shared" si="12"/>
        <v>$142,600.00</v>
      </c>
      <c r="F419" s="7" t="s">
        <v>146</v>
      </c>
      <c r="G419" s="10" t="s">
        <v>738</v>
      </c>
      <c r="H419" s="13" t="s">
        <v>497</v>
      </c>
    </row>
    <row r="420" ht="22.5" customHeight="1">
      <c r="A420" s="7" t="s">
        <v>493</v>
      </c>
      <c r="B420" s="7" t="s">
        <v>740</v>
      </c>
      <c r="C420" s="8" t="s">
        <v>741</v>
      </c>
      <c r="D420" s="9" t="str">
        <f t="shared" si="11"/>
        <v>$112,200.00</v>
      </c>
      <c r="E420" s="9" t="str">
        <f t="shared" si="12"/>
        <v>$162,150.00</v>
      </c>
      <c r="F420" s="7" t="s">
        <v>146</v>
      </c>
      <c r="G420" s="10" t="s">
        <v>742</v>
      </c>
      <c r="H420" s="13" t="s">
        <v>497</v>
      </c>
    </row>
    <row r="421" ht="22.5" customHeight="1">
      <c r="A421" s="7" t="s">
        <v>493</v>
      </c>
      <c r="B421" s="7" t="s">
        <v>743</v>
      </c>
      <c r="C421" s="8" t="s">
        <v>744</v>
      </c>
      <c r="D421" s="9" t="str">
        <f t="shared" si="11"/>
        <v>$119,000.00</v>
      </c>
      <c r="E421" s="9" t="str">
        <f t="shared" si="12"/>
        <v>$172,500.00</v>
      </c>
      <c r="F421" s="7" t="s">
        <v>146</v>
      </c>
      <c r="G421" s="10" t="s">
        <v>745</v>
      </c>
      <c r="H421" s="13" t="s">
        <v>497</v>
      </c>
    </row>
    <row r="422" ht="22.5" customHeight="1">
      <c r="A422" s="7" t="s">
        <v>493</v>
      </c>
      <c r="B422" s="7" t="s">
        <v>743</v>
      </c>
      <c r="C422" s="8" t="s">
        <v>746</v>
      </c>
      <c r="D422" s="9" t="str">
        <f t="shared" si="11"/>
        <v>$119,750.00</v>
      </c>
      <c r="E422" s="9" t="str">
        <f t="shared" si="12"/>
        <v>$172,500.00</v>
      </c>
      <c r="F422" s="7" t="s">
        <v>146</v>
      </c>
      <c r="G422" s="10" t="s">
        <v>747</v>
      </c>
      <c r="H422" s="13" t="s">
        <v>497</v>
      </c>
    </row>
    <row r="423" ht="22.5" customHeight="1">
      <c r="A423" s="7" t="s">
        <v>493</v>
      </c>
      <c r="B423" s="7" t="s">
        <v>748</v>
      </c>
      <c r="C423" s="8" t="s">
        <v>749</v>
      </c>
      <c r="D423" s="9" t="str">
        <f t="shared" si="11"/>
        <v>$146,200.00</v>
      </c>
      <c r="E423" s="9" t="str">
        <f t="shared" si="12"/>
        <v>$211.600.00</v>
      </c>
      <c r="F423" s="7" t="s">
        <v>146</v>
      </c>
      <c r="G423" s="10" t="s">
        <v>747</v>
      </c>
      <c r="H423" s="13" t="s">
        <v>497</v>
      </c>
    </row>
    <row r="424" ht="22.5" customHeight="1">
      <c r="A424" s="7" t="s">
        <v>493</v>
      </c>
      <c r="B424" s="7" t="s">
        <v>750</v>
      </c>
      <c r="C424" s="8" t="s">
        <v>533</v>
      </c>
      <c r="D424" s="9" t="str">
        <f t="shared" si="11"/>
        <v>$96,900.00</v>
      </c>
      <c r="E424" s="9" t="str">
        <f t="shared" si="12"/>
        <v>$131,100.00</v>
      </c>
      <c r="F424" s="7" t="s">
        <v>146</v>
      </c>
      <c r="G424" s="10" t="s">
        <v>751</v>
      </c>
      <c r="H424" s="13" t="s">
        <v>497</v>
      </c>
    </row>
    <row r="425" ht="22.5" customHeight="1">
      <c r="A425" s="7" t="s">
        <v>493</v>
      </c>
      <c r="B425" s="7" t="s">
        <v>752</v>
      </c>
      <c r="C425" s="8" t="s">
        <v>680</v>
      </c>
      <c r="D425" s="9" t="str">
        <f t="shared" si="11"/>
        <v>$107,100.00</v>
      </c>
      <c r="E425" s="9" t="str">
        <f t="shared" si="12"/>
        <v>$155,250.00</v>
      </c>
      <c r="F425" s="7" t="s">
        <v>146</v>
      </c>
      <c r="G425" s="10" t="s">
        <v>753</v>
      </c>
      <c r="H425" s="13" t="s">
        <v>497</v>
      </c>
    </row>
    <row r="426" ht="22.5" customHeight="1">
      <c r="A426" s="7" t="s">
        <v>493</v>
      </c>
      <c r="B426" s="7" t="s">
        <v>754</v>
      </c>
      <c r="C426" s="12">
        <v>142355.0</v>
      </c>
      <c r="D426" s="9">
        <v>142355.0</v>
      </c>
      <c r="E426" s="9">
        <v>142355.0</v>
      </c>
      <c r="F426" s="7" t="s">
        <v>146</v>
      </c>
      <c r="G426" s="10" t="s">
        <v>755</v>
      </c>
      <c r="H426" s="13" t="s">
        <v>497</v>
      </c>
    </row>
    <row r="427" ht="22.5" customHeight="1">
      <c r="A427" s="7" t="s">
        <v>493</v>
      </c>
      <c r="B427" s="7" t="s">
        <v>756</v>
      </c>
      <c r="C427" s="12">
        <v>144414.0</v>
      </c>
      <c r="D427" s="9">
        <v>144414.0</v>
      </c>
      <c r="E427" s="9">
        <v>144414.0</v>
      </c>
      <c r="F427" s="7" t="s">
        <v>146</v>
      </c>
      <c r="G427" s="10" t="s">
        <v>757</v>
      </c>
      <c r="H427" s="13" t="s">
        <v>497</v>
      </c>
    </row>
    <row r="428" ht="22.5" customHeight="1">
      <c r="A428" s="7" t="s">
        <v>493</v>
      </c>
      <c r="B428" s="7" t="s">
        <v>758</v>
      </c>
      <c r="C428" s="8" t="s">
        <v>499</v>
      </c>
      <c r="D428" s="9" t="str">
        <f t="shared" ref="D428:D443" si="13">TRIM(LEFT($C428, FIND("-", $C428)-1))</f>
        <v>$138,550.00</v>
      </c>
      <c r="E428" s="9" t="str">
        <f t="shared" ref="E428:E443" si="14">TRIM(MID($C428, FIND("-", $C428)+1, LEN($C428)))</f>
        <v>$187,450.00</v>
      </c>
      <c r="F428" s="7" t="s">
        <v>146</v>
      </c>
      <c r="G428" s="10" t="s">
        <v>759</v>
      </c>
      <c r="H428" s="13" t="s">
        <v>497</v>
      </c>
    </row>
    <row r="429" ht="22.5" customHeight="1">
      <c r="A429" s="7" t="s">
        <v>493</v>
      </c>
      <c r="B429" s="7" t="s">
        <v>760</v>
      </c>
      <c r="C429" s="8" t="s">
        <v>761</v>
      </c>
      <c r="D429" s="9" t="str">
        <f t="shared" si="13"/>
        <v>$166,750.00</v>
      </c>
      <c r="E429" s="9" t="str">
        <f t="shared" si="14"/>
        <v>$224,250.00</v>
      </c>
      <c r="F429" s="7" t="s">
        <v>146</v>
      </c>
      <c r="G429" s="10" t="s">
        <v>762</v>
      </c>
      <c r="H429" s="13" t="s">
        <v>497</v>
      </c>
    </row>
    <row r="430" ht="22.5" customHeight="1">
      <c r="A430" s="7" t="s">
        <v>493</v>
      </c>
      <c r="B430" s="7" t="s">
        <v>763</v>
      </c>
      <c r="C430" s="8" t="s">
        <v>526</v>
      </c>
      <c r="D430" s="9" t="str">
        <f t="shared" si="13"/>
        <v>$114,750.00</v>
      </c>
      <c r="E430" s="9" t="str">
        <f t="shared" si="14"/>
        <v>$155,250.00</v>
      </c>
      <c r="F430" s="7" t="s">
        <v>146</v>
      </c>
      <c r="G430" s="10" t="s">
        <v>762</v>
      </c>
      <c r="H430" s="13" t="s">
        <v>497</v>
      </c>
    </row>
    <row r="431" ht="22.5" customHeight="1">
      <c r="A431" s="7" t="s">
        <v>493</v>
      </c>
      <c r="B431" s="7" t="s">
        <v>764</v>
      </c>
      <c r="C431" s="8" t="s">
        <v>577</v>
      </c>
      <c r="D431" s="9" t="str">
        <f t="shared" si="13"/>
        <v>$136,850.00</v>
      </c>
      <c r="E431" s="9" t="str">
        <f t="shared" si="14"/>
        <v>$185,150.00</v>
      </c>
      <c r="F431" s="7" t="s">
        <v>146</v>
      </c>
      <c r="G431" s="10" t="s">
        <v>762</v>
      </c>
      <c r="H431" s="13" t="s">
        <v>497</v>
      </c>
    </row>
    <row r="432" ht="22.5" customHeight="1">
      <c r="A432" s="7" t="s">
        <v>493</v>
      </c>
      <c r="B432" s="7" t="s">
        <v>765</v>
      </c>
      <c r="C432" s="8" t="s">
        <v>766</v>
      </c>
      <c r="D432" s="9" t="str">
        <f t="shared" si="13"/>
        <v>$92,650.00</v>
      </c>
      <c r="E432" s="9" t="str">
        <f t="shared" si="14"/>
        <v>$125,350.00</v>
      </c>
      <c r="F432" s="7" t="s">
        <v>146</v>
      </c>
      <c r="G432" s="10" t="s">
        <v>767</v>
      </c>
      <c r="H432" s="13" t="s">
        <v>497</v>
      </c>
    </row>
    <row r="433" ht="22.5" customHeight="1">
      <c r="A433" s="7" t="s">
        <v>493</v>
      </c>
      <c r="B433" s="7" t="s">
        <v>768</v>
      </c>
      <c r="C433" s="8" t="s">
        <v>687</v>
      </c>
      <c r="D433" s="9" t="str">
        <f t="shared" si="13"/>
        <v>$116,450.00</v>
      </c>
      <c r="E433" s="9" t="str">
        <f t="shared" si="14"/>
        <v>$157,550.00</v>
      </c>
      <c r="F433" s="7" t="s">
        <v>146</v>
      </c>
      <c r="G433" s="10" t="s">
        <v>767</v>
      </c>
      <c r="H433" s="13" t="s">
        <v>497</v>
      </c>
    </row>
    <row r="434" ht="22.5" customHeight="1">
      <c r="A434" s="7" t="s">
        <v>493</v>
      </c>
      <c r="B434" s="7" t="s">
        <v>769</v>
      </c>
      <c r="C434" s="8" t="s">
        <v>770</v>
      </c>
      <c r="D434" s="9" t="str">
        <f t="shared" si="13"/>
        <v>$177,650.00</v>
      </c>
      <c r="E434" s="9" t="str">
        <f t="shared" si="14"/>
        <v>$240,350.00</v>
      </c>
      <c r="F434" s="7" t="s">
        <v>146</v>
      </c>
      <c r="G434" s="10" t="s">
        <v>771</v>
      </c>
      <c r="H434" s="13" t="s">
        <v>497</v>
      </c>
    </row>
    <row r="435" ht="22.5" customHeight="1">
      <c r="A435" s="7" t="s">
        <v>493</v>
      </c>
      <c r="B435" s="7" t="s">
        <v>772</v>
      </c>
      <c r="C435" s="8" t="s">
        <v>773</v>
      </c>
      <c r="D435" s="9" t="str">
        <f t="shared" si="13"/>
        <v>$117,300.00</v>
      </c>
      <c r="E435" s="9" t="str">
        <f t="shared" si="14"/>
        <v>$170,200.00</v>
      </c>
      <c r="F435" s="7" t="s">
        <v>146</v>
      </c>
      <c r="G435" s="10" t="s">
        <v>774</v>
      </c>
      <c r="H435" s="13" t="s">
        <v>497</v>
      </c>
    </row>
    <row r="436" ht="22.5" customHeight="1">
      <c r="A436" s="7" t="s">
        <v>493</v>
      </c>
      <c r="B436" s="7" t="s">
        <v>775</v>
      </c>
      <c r="C436" s="8" t="s">
        <v>776</v>
      </c>
      <c r="D436" s="9" t="str">
        <f t="shared" si="13"/>
        <v>$140,250.00</v>
      </c>
      <c r="E436" s="9" t="str">
        <f t="shared" si="14"/>
        <v>$203,550.00</v>
      </c>
      <c r="F436" s="7" t="s">
        <v>146</v>
      </c>
      <c r="G436" s="10" t="s">
        <v>774</v>
      </c>
      <c r="H436" s="13" t="s">
        <v>497</v>
      </c>
    </row>
    <row r="437" ht="22.5" customHeight="1">
      <c r="A437" s="7" t="s">
        <v>493</v>
      </c>
      <c r="B437" s="7" t="s">
        <v>777</v>
      </c>
      <c r="C437" s="8" t="s">
        <v>577</v>
      </c>
      <c r="D437" s="9" t="str">
        <f t="shared" si="13"/>
        <v>$136,850.00</v>
      </c>
      <c r="E437" s="9" t="str">
        <f t="shared" si="14"/>
        <v>$185,150.00</v>
      </c>
      <c r="F437" s="7" t="s">
        <v>146</v>
      </c>
      <c r="G437" s="10" t="s">
        <v>778</v>
      </c>
      <c r="H437" s="13" t="s">
        <v>497</v>
      </c>
    </row>
    <row r="438" ht="22.5" customHeight="1">
      <c r="A438" s="7" t="s">
        <v>493</v>
      </c>
      <c r="B438" s="7" t="s">
        <v>779</v>
      </c>
      <c r="C438" s="8" t="s">
        <v>780</v>
      </c>
      <c r="D438" s="9" t="str">
        <f t="shared" si="13"/>
        <v>$127,500.00</v>
      </c>
      <c r="E438" s="9" t="str">
        <f t="shared" si="14"/>
        <v>$172,500.00</v>
      </c>
      <c r="F438" s="7" t="s">
        <v>146</v>
      </c>
      <c r="G438" s="10" t="s">
        <v>778</v>
      </c>
      <c r="H438" s="13" t="s">
        <v>497</v>
      </c>
    </row>
    <row r="439" ht="22.5" customHeight="1">
      <c r="A439" s="7" t="s">
        <v>493</v>
      </c>
      <c r="B439" s="7" t="s">
        <v>781</v>
      </c>
      <c r="C439" s="8" t="s">
        <v>782</v>
      </c>
      <c r="D439" s="9" t="str">
        <f t="shared" si="13"/>
        <v>$152,000.00</v>
      </c>
      <c r="E439" s="9" t="str">
        <f t="shared" si="14"/>
        <v>$195,000.00</v>
      </c>
      <c r="F439" s="7" t="s">
        <v>146</v>
      </c>
      <c r="G439" s="10" t="s">
        <v>783</v>
      </c>
      <c r="H439" s="13" t="s">
        <v>497</v>
      </c>
    </row>
    <row r="440" ht="22.5" customHeight="1">
      <c r="A440" s="7" t="s">
        <v>493</v>
      </c>
      <c r="B440" s="7" t="s">
        <v>784</v>
      </c>
      <c r="C440" s="8" t="s">
        <v>785</v>
      </c>
      <c r="D440" s="9" t="str">
        <f t="shared" si="13"/>
        <v>$94,350.00</v>
      </c>
      <c r="E440" s="9" t="str">
        <f t="shared" si="14"/>
        <v>$146,050.00</v>
      </c>
      <c r="F440" s="7" t="s">
        <v>146</v>
      </c>
      <c r="G440" s="10" t="s">
        <v>786</v>
      </c>
      <c r="H440" s="13" t="s">
        <v>497</v>
      </c>
    </row>
    <row r="441" ht="22.5" customHeight="1">
      <c r="A441" s="7" t="s">
        <v>493</v>
      </c>
      <c r="B441" s="7" t="s">
        <v>787</v>
      </c>
      <c r="C441" s="8" t="s">
        <v>788</v>
      </c>
      <c r="D441" s="9" t="str">
        <f t="shared" si="13"/>
        <v>$114,750.00</v>
      </c>
      <c r="E441" s="9" t="str">
        <f t="shared" si="14"/>
        <v>$178,250.00</v>
      </c>
      <c r="F441" s="7" t="s">
        <v>146</v>
      </c>
      <c r="G441" s="10" t="s">
        <v>786</v>
      </c>
      <c r="H441" s="13" t="s">
        <v>497</v>
      </c>
    </row>
    <row r="442" ht="22.5" customHeight="1">
      <c r="A442" s="7" t="s">
        <v>493</v>
      </c>
      <c r="B442" s="7" t="s">
        <v>789</v>
      </c>
      <c r="C442" s="8" t="s">
        <v>790</v>
      </c>
      <c r="D442" s="9" t="str">
        <f t="shared" si="13"/>
        <v>$102,850.00</v>
      </c>
      <c r="E442" s="9" t="str">
        <f t="shared" si="14"/>
        <v>$159,850.00</v>
      </c>
      <c r="F442" s="7" t="s">
        <v>146</v>
      </c>
      <c r="G442" s="10" t="s">
        <v>791</v>
      </c>
      <c r="H442" s="13" t="s">
        <v>497</v>
      </c>
    </row>
    <row r="443" ht="22.5" customHeight="1">
      <c r="A443" s="7" t="s">
        <v>493</v>
      </c>
      <c r="B443" s="7" t="s">
        <v>792</v>
      </c>
      <c r="C443" s="8" t="s">
        <v>793</v>
      </c>
      <c r="D443" s="9" t="str">
        <f t="shared" si="13"/>
        <v>$123,250.00</v>
      </c>
      <c r="E443" s="9" t="str">
        <f t="shared" si="14"/>
        <v>$192,050.00</v>
      </c>
      <c r="F443" s="7" t="s">
        <v>146</v>
      </c>
      <c r="G443" s="10" t="s">
        <v>791</v>
      </c>
      <c r="H443" s="13" t="s">
        <v>497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B32"/>
    <hyperlink r:id="rId32" ref="H32"/>
    <hyperlink r:id="rId33" ref="H33"/>
    <hyperlink r:id="rId34" ref="H34"/>
    <hyperlink r:id="rId35" ref="H35"/>
    <hyperlink r:id="rId36" ref="H36"/>
    <hyperlink r:id="rId37" ref="H37"/>
    <hyperlink r:id="rId38" ref="H38"/>
    <hyperlink r:id="rId39" ref="H39"/>
    <hyperlink r:id="rId40" ref="H40"/>
    <hyperlink r:id="rId41" ref="H41"/>
    <hyperlink r:id="rId42" ref="H42"/>
    <hyperlink r:id="rId43" ref="H43"/>
    <hyperlink r:id="rId44" ref="H44"/>
    <hyperlink r:id="rId45" ref="H45"/>
    <hyperlink r:id="rId46" ref="H46"/>
    <hyperlink r:id="rId47" ref="H47"/>
    <hyperlink r:id="rId48" ref="H48"/>
    <hyperlink r:id="rId49" ref="H49"/>
    <hyperlink r:id="rId50" ref="H50"/>
    <hyperlink r:id="rId51" ref="H51"/>
    <hyperlink r:id="rId52" ref="H52"/>
    <hyperlink r:id="rId53" ref="H53"/>
    <hyperlink r:id="rId54" ref="H54"/>
    <hyperlink r:id="rId55" ref="H55"/>
    <hyperlink r:id="rId56" ref="H56"/>
    <hyperlink r:id="rId57" ref="H57"/>
    <hyperlink r:id="rId58" ref="H58"/>
    <hyperlink r:id="rId59" ref="H59"/>
    <hyperlink r:id="rId60" ref="H60"/>
    <hyperlink r:id="rId61" ref="H61"/>
    <hyperlink r:id="rId62" ref="H62"/>
    <hyperlink r:id="rId63" ref="H63"/>
    <hyperlink r:id="rId64" ref="H64"/>
    <hyperlink r:id="rId65" ref="H65"/>
    <hyperlink r:id="rId66" ref="H66"/>
    <hyperlink r:id="rId67" ref="H67"/>
    <hyperlink r:id="rId68" ref="H68"/>
    <hyperlink r:id="rId69" ref="H69"/>
    <hyperlink r:id="rId70" ref="H70"/>
    <hyperlink r:id="rId71" ref="H71"/>
    <hyperlink r:id="rId72" ref="H72"/>
    <hyperlink r:id="rId73" ref="H73"/>
    <hyperlink r:id="rId74" ref="H74"/>
    <hyperlink r:id="rId75" ref="H75"/>
    <hyperlink r:id="rId76" ref="H76"/>
    <hyperlink r:id="rId77" ref="H77"/>
    <hyperlink r:id="rId78" ref="H78"/>
    <hyperlink r:id="rId79" ref="H79"/>
    <hyperlink r:id="rId80" ref="H80"/>
    <hyperlink r:id="rId81" ref="H81"/>
    <hyperlink r:id="rId82" ref="H82"/>
    <hyperlink r:id="rId83" ref="H83"/>
    <hyperlink r:id="rId84" ref="H84"/>
    <hyperlink r:id="rId85" ref="H85"/>
    <hyperlink r:id="rId86" ref="H86"/>
    <hyperlink r:id="rId87" ref="H87"/>
    <hyperlink r:id="rId88" ref="H88"/>
    <hyperlink r:id="rId89" ref="H89"/>
    <hyperlink r:id="rId90" ref="H90"/>
    <hyperlink r:id="rId91" ref="H91"/>
    <hyperlink r:id="rId92" ref="H92"/>
    <hyperlink r:id="rId93" ref="H93"/>
    <hyperlink r:id="rId94" ref="H94"/>
    <hyperlink r:id="rId95" ref="H95"/>
    <hyperlink r:id="rId96" ref="H96"/>
    <hyperlink r:id="rId97" ref="H97"/>
    <hyperlink r:id="rId98" ref="H98"/>
    <hyperlink r:id="rId99" ref="H99"/>
    <hyperlink r:id="rId100" ref="H100"/>
    <hyperlink r:id="rId101" ref="H101"/>
    <hyperlink r:id="rId102" ref="H102"/>
    <hyperlink r:id="rId103" ref="H103"/>
    <hyperlink r:id="rId104" ref="H104"/>
    <hyperlink r:id="rId105" ref="H105"/>
    <hyperlink r:id="rId106" ref="H106"/>
    <hyperlink r:id="rId107" ref="H107"/>
    <hyperlink r:id="rId108" ref="H108"/>
    <hyperlink r:id="rId109" ref="H109"/>
    <hyperlink r:id="rId110" ref="H110"/>
    <hyperlink r:id="rId111" ref="H111"/>
    <hyperlink r:id="rId112" ref="H112"/>
    <hyperlink r:id="rId113" ref="H113"/>
    <hyperlink r:id="rId114" ref="H114"/>
    <hyperlink r:id="rId115" ref="H115"/>
    <hyperlink r:id="rId116" ref="H116"/>
    <hyperlink r:id="rId117" ref="H117"/>
    <hyperlink r:id="rId118" ref="H118"/>
    <hyperlink r:id="rId119" ref="H119"/>
    <hyperlink r:id="rId120" ref="H120"/>
    <hyperlink r:id="rId121" ref="H121"/>
    <hyperlink r:id="rId122" ref="H122"/>
    <hyperlink r:id="rId123" ref="H123"/>
    <hyperlink r:id="rId124" ref="H124"/>
    <hyperlink r:id="rId125" ref="H125"/>
    <hyperlink r:id="rId126" ref="H126"/>
    <hyperlink r:id="rId127" ref="H127"/>
    <hyperlink r:id="rId128" ref="H128"/>
    <hyperlink r:id="rId129" ref="H129"/>
    <hyperlink r:id="rId130" ref="H130"/>
    <hyperlink r:id="rId131" ref="H131"/>
    <hyperlink r:id="rId132" ref="H132"/>
    <hyperlink r:id="rId133" ref="H133"/>
    <hyperlink r:id="rId134" ref="H134"/>
    <hyperlink r:id="rId135" ref="H135"/>
    <hyperlink r:id="rId136" ref="H136"/>
    <hyperlink r:id="rId137" ref="H137"/>
    <hyperlink r:id="rId138" ref="H138"/>
    <hyperlink r:id="rId139" ref="H139"/>
    <hyperlink r:id="rId140" ref="H140"/>
    <hyperlink r:id="rId141" ref="G141"/>
    <hyperlink r:id="rId142" ref="H141"/>
    <hyperlink r:id="rId143" ref="G142"/>
    <hyperlink r:id="rId144" ref="H142"/>
    <hyperlink r:id="rId145" ref="G143"/>
    <hyperlink r:id="rId146" ref="H143"/>
    <hyperlink r:id="rId147" ref="G144"/>
    <hyperlink r:id="rId148" ref="H144"/>
    <hyperlink r:id="rId149" ref="G145"/>
    <hyperlink r:id="rId150" ref="H145"/>
    <hyperlink r:id="rId151" ref="G146"/>
    <hyperlink r:id="rId152" ref="H146"/>
    <hyperlink r:id="rId153" ref="G147"/>
    <hyperlink r:id="rId154" ref="H147"/>
    <hyperlink r:id="rId155" ref="G148"/>
    <hyperlink r:id="rId156" ref="H148"/>
    <hyperlink r:id="rId157" ref="G149"/>
    <hyperlink r:id="rId158" ref="H149"/>
    <hyperlink r:id="rId159" ref="G150"/>
    <hyperlink r:id="rId160" ref="H150"/>
    <hyperlink r:id="rId161" ref="G151"/>
    <hyperlink r:id="rId162" ref="H151"/>
    <hyperlink r:id="rId163" ref="G152"/>
    <hyperlink r:id="rId164" ref="H152"/>
    <hyperlink r:id="rId165" ref="G153"/>
    <hyperlink r:id="rId166" ref="H153"/>
    <hyperlink r:id="rId167" ref="G154"/>
    <hyperlink r:id="rId168" ref="H154"/>
    <hyperlink r:id="rId169" ref="G155"/>
    <hyperlink r:id="rId170" ref="H155"/>
    <hyperlink r:id="rId171" ref="G156"/>
    <hyperlink r:id="rId172" ref="H156"/>
    <hyperlink r:id="rId173" ref="G157"/>
    <hyperlink r:id="rId174" ref="H157"/>
    <hyperlink r:id="rId175" ref="G158"/>
    <hyperlink r:id="rId176" ref="H158"/>
    <hyperlink r:id="rId177" ref="G159"/>
    <hyperlink r:id="rId178" ref="H159"/>
    <hyperlink r:id="rId179" ref="G160"/>
    <hyperlink r:id="rId180" ref="H160"/>
    <hyperlink r:id="rId181" ref="G161"/>
    <hyperlink r:id="rId182" ref="H161"/>
    <hyperlink r:id="rId183" ref="G162"/>
    <hyperlink r:id="rId184" ref="H162"/>
    <hyperlink r:id="rId185" ref="G163"/>
    <hyperlink r:id="rId186" ref="H163"/>
    <hyperlink r:id="rId187" ref="G164"/>
    <hyperlink r:id="rId188" ref="H164"/>
    <hyperlink r:id="rId189" ref="G165"/>
    <hyperlink r:id="rId190" ref="H165"/>
    <hyperlink r:id="rId191" ref="G166"/>
    <hyperlink r:id="rId192" ref="H166"/>
    <hyperlink r:id="rId193" ref="G167"/>
    <hyperlink r:id="rId194" ref="H167"/>
    <hyperlink r:id="rId195" ref="G168"/>
    <hyperlink r:id="rId196" ref="H168"/>
    <hyperlink r:id="rId197" ref="G169"/>
    <hyperlink r:id="rId198" ref="H169"/>
    <hyperlink r:id="rId199" ref="G170"/>
    <hyperlink r:id="rId200" ref="H170"/>
    <hyperlink r:id="rId201" ref="G171"/>
    <hyperlink r:id="rId202" ref="H171"/>
    <hyperlink r:id="rId203" ref="G172"/>
    <hyperlink r:id="rId204" ref="H172"/>
    <hyperlink r:id="rId205" ref="G173"/>
    <hyperlink r:id="rId206" ref="H173"/>
    <hyperlink r:id="rId207" ref="G174"/>
    <hyperlink r:id="rId208" ref="H174"/>
    <hyperlink r:id="rId209" ref="G175"/>
    <hyperlink r:id="rId210" ref="H175"/>
    <hyperlink r:id="rId211" ref="G176"/>
    <hyperlink r:id="rId212" ref="H176"/>
    <hyperlink r:id="rId213" ref="G177"/>
    <hyperlink r:id="rId214" ref="H177"/>
    <hyperlink r:id="rId215" ref="G178"/>
    <hyperlink r:id="rId216" ref="H178"/>
    <hyperlink r:id="rId217" ref="G179"/>
    <hyperlink r:id="rId218" ref="H179"/>
    <hyperlink r:id="rId219" ref="G180"/>
    <hyperlink r:id="rId220" ref="H180"/>
    <hyperlink r:id="rId221" ref="G181"/>
    <hyperlink r:id="rId222" ref="H181"/>
    <hyperlink r:id="rId223" ref="G182"/>
    <hyperlink r:id="rId224" ref="H182"/>
    <hyperlink r:id="rId225" ref="G183"/>
    <hyperlink r:id="rId226" ref="H183"/>
    <hyperlink r:id="rId227" ref="G184"/>
    <hyperlink r:id="rId228" ref="H184"/>
    <hyperlink r:id="rId229" ref="G185"/>
    <hyperlink r:id="rId230" ref="H185"/>
    <hyperlink r:id="rId231" ref="G186"/>
    <hyperlink r:id="rId232" ref="H186"/>
    <hyperlink r:id="rId233" ref="G187"/>
    <hyperlink r:id="rId234" ref="H187"/>
    <hyperlink r:id="rId235" ref="G188"/>
    <hyperlink r:id="rId236" ref="H188"/>
    <hyperlink r:id="rId237" ref="G189"/>
    <hyperlink r:id="rId238" ref="H189"/>
    <hyperlink r:id="rId239" ref="G190"/>
    <hyperlink r:id="rId240" ref="H190"/>
    <hyperlink r:id="rId241" ref="G191"/>
    <hyperlink r:id="rId242" ref="H191"/>
    <hyperlink r:id="rId243" ref="G192"/>
    <hyperlink r:id="rId244" ref="H192"/>
    <hyperlink r:id="rId245" ref="G193"/>
    <hyperlink r:id="rId246" ref="H193"/>
    <hyperlink r:id="rId247" ref="G194"/>
    <hyperlink r:id="rId248" ref="H194"/>
    <hyperlink r:id="rId249" ref="G195"/>
    <hyperlink r:id="rId250" ref="H195"/>
    <hyperlink r:id="rId251" ref="G196"/>
    <hyperlink r:id="rId252" ref="H196"/>
    <hyperlink r:id="rId253" ref="G197"/>
    <hyperlink r:id="rId254" ref="H197"/>
    <hyperlink r:id="rId255" ref="G198"/>
    <hyperlink r:id="rId256" ref="H198"/>
    <hyperlink r:id="rId257" ref="G199"/>
    <hyperlink r:id="rId258" ref="H199"/>
    <hyperlink r:id="rId259" ref="G200"/>
    <hyperlink r:id="rId260" ref="H200"/>
    <hyperlink r:id="rId261" ref="G201"/>
    <hyperlink r:id="rId262" ref="H201"/>
    <hyperlink r:id="rId263" ref="G202"/>
    <hyperlink r:id="rId264" ref="H202"/>
    <hyperlink r:id="rId265" ref="G203"/>
    <hyperlink r:id="rId266" ref="H203"/>
    <hyperlink r:id="rId267" ref="G204"/>
    <hyperlink r:id="rId268" ref="H204"/>
    <hyperlink r:id="rId269" ref="G205"/>
    <hyperlink r:id="rId270" ref="H205"/>
    <hyperlink r:id="rId271" ref="G206"/>
    <hyperlink r:id="rId272" ref="H206"/>
    <hyperlink r:id="rId273" ref="G207"/>
    <hyperlink r:id="rId274" ref="H207"/>
    <hyperlink r:id="rId275" ref="G208"/>
    <hyperlink r:id="rId276" ref="H208"/>
    <hyperlink r:id="rId277" ref="G209"/>
    <hyperlink r:id="rId278" ref="H209"/>
    <hyperlink r:id="rId279" ref="G210"/>
    <hyperlink r:id="rId280" ref="H210"/>
    <hyperlink r:id="rId281" ref="G211"/>
    <hyperlink r:id="rId282" ref="H211"/>
    <hyperlink r:id="rId283" ref="G212"/>
    <hyperlink r:id="rId284" ref="H212"/>
    <hyperlink r:id="rId285" ref="G213"/>
    <hyperlink r:id="rId286" ref="H213"/>
    <hyperlink r:id="rId287" ref="G214"/>
    <hyperlink r:id="rId288" ref="H214"/>
    <hyperlink r:id="rId289" ref="G215"/>
    <hyperlink r:id="rId290" ref="H215"/>
    <hyperlink r:id="rId291" ref="G216"/>
    <hyperlink r:id="rId292" ref="H216"/>
    <hyperlink r:id="rId293" ref="G217"/>
    <hyperlink r:id="rId294" ref="H217"/>
    <hyperlink r:id="rId295" ref="G218"/>
    <hyperlink r:id="rId296" ref="H218"/>
    <hyperlink r:id="rId297" ref="G219"/>
    <hyperlink r:id="rId298" ref="H219"/>
    <hyperlink r:id="rId299" ref="G220"/>
    <hyperlink r:id="rId300" ref="H220"/>
    <hyperlink r:id="rId301" ref="G221"/>
    <hyperlink r:id="rId302" ref="H221"/>
    <hyperlink r:id="rId303" ref="G222"/>
    <hyperlink r:id="rId304" ref="H222"/>
    <hyperlink r:id="rId305" ref="H223"/>
    <hyperlink r:id="rId306" ref="H224"/>
    <hyperlink r:id="rId307" ref="H225"/>
    <hyperlink r:id="rId308" ref="H226"/>
    <hyperlink r:id="rId309" ref="H227"/>
    <hyperlink r:id="rId310" ref="H228"/>
    <hyperlink r:id="rId311" ref="H229"/>
    <hyperlink r:id="rId312" ref="H230"/>
    <hyperlink r:id="rId313" ref="H231"/>
    <hyperlink r:id="rId314" ref="H232"/>
    <hyperlink r:id="rId315" ref="H233"/>
    <hyperlink r:id="rId316" ref="H234"/>
    <hyperlink r:id="rId317" ref="H235"/>
    <hyperlink r:id="rId318" ref="H236"/>
    <hyperlink r:id="rId319" ref="H237"/>
    <hyperlink r:id="rId320" ref="H238"/>
    <hyperlink r:id="rId321" ref="H239"/>
    <hyperlink r:id="rId322" ref="H240"/>
    <hyperlink r:id="rId323" ref="H241"/>
    <hyperlink r:id="rId324" ref="H242"/>
    <hyperlink r:id="rId325" ref="H243"/>
    <hyperlink r:id="rId326" ref="H244"/>
    <hyperlink r:id="rId327" ref="G245"/>
    <hyperlink r:id="rId328" ref="H245"/>
    <hyperlink r:id="rId329" ref="G246"/>
    <hyperlink r:id="rId330" ref="H246"/>
    <hyperlink r:id="rId331" ref="G247"/>
    <hyperlink r:id="rId332" ref="H247"/>
    <hyperlink r:id="rId333" ref="G248"/>
    <hyperlink r:id="rId334" ref="H248"/>
    <hyperlink r:id="rId335" ref="G249"/>
    <hyperlink r:id="rId336" ref="H249"/>
    <hyperlink r:id="rId337" ref="G250"/>
    <hyperlink r:id="rId338" ref="H250"/>
    <hyperlink r:id="rId339" ref="G251"/>
    <hyperlink r:id="rId340" ref="H251"/>
    <hyperlink r:id="rId341" ref="G252"/>
    <hyperlink r:id="rId342" ref="H252"/>
    <hyperlink r:id="rId343" ref="G253"/>
    <hyperlink r:id="rId344" ref="H253"/>
    <hyperlink r:id="rId345" ref="G254"/>
    <hyperlink r:id="rId346" ref="H254"/>
    <hyperlink r:id="rId347" ref="G255"/>
    <hyperlink r:id="rId348" ref="H255"/>
    <hyperlink r:id="rId349" ref="G256"/>
    <hyperlink r:id="rId350" ref="H256"/>
    <hyperlink r:id="rId351" ref="G257"/>
    <hyperlink r:id="rId352" ref="H257"/>
    <hyperlink r:id="rId353" ref="G258"/>
    <hyperlink r:id="rId354" ref="H258"/>
    <hyperlink r:id="rId355" ref="G259"/>
    <hyperlink r:id="rId356" ref="H259"/>
    <hyperlink r:id="rId357" ref="G260"/>
    <hyperlink r:id="rId358" ref="H260"/>
    <hyperlink r:id="rId359" ref="G261"/>
    <hyperlink r:id="rId360" ref="H261"/>
    <hyperlink r:id="rId361" ref="G262"/>
    <hyperlink r:id="rId362" ref="H262"/>
    <hyperlink r:id="rId363" ref="G263"/>
    <hyperlink r:id="rId364" ref="H263"/>
    <hyperlink r:id="rId365" ref="G264"/>
    <hyperlink r:id="rId366" ref="H264"/>
    <hyperlink r:id="rId367" ref="G265"/>
    <hyperlink r:id="rId368" ref="H265"/>
    <hyperlink r:id="rId369" ref="G266"/>
    <hyperlink r:id="rId370" ref="H266"/>
    <hyperlink r:id="rId371" ref="G267"/>
    <hyperlink r:id="rId372" ref="H267"/>
    <hyperlink r:id="rId373" ref="G268"/>
    <hyperlink r:id="rId374" ref="H268"/>
    <hyperlink r:id="rId375" ref="G269"/>
    <hyperlink r:id="rId376" ref="H269"/>
    <hyperlink r:id="rId377" ref="G270"/>
    <hyperlink r:id="rId378" ref="H270"/>
    <hyperlink r:id="rId379" ref="G271"/>
    <hyperlink r:id="rId380" ref="H271"/>
    <hyperlink r:id="rId381" ref="G272"/>
    <hyperlink r:id="rId382" ref="H272"/>
    <hyperlink r:id="rId383" ref="G273"/>
    <hyperlink r:id="rId384" ref="H273"/>
    <hyperlink r:id="rId385" ref="G274"/>
    <hyperlink r:id="rId386" ref="H274"/>
    <hyperlink r:id="rId387" ref="G275"/>
    <hyperlink r:id="rId388" ref="H275"/>
    <hyperlink r:id="rId389" ref="G276"/>
    <hyperlink r:id="rId390" ref="H276"/>
    <hyperlink r:id="rId391" ref="G277"/>
    <hyperlink r:id="rId392" ref="H277"/>
    <hyperlink r:id="rId393" ref="G278"/>
    <hyperlink r:id="rId394" ref="H278"/>
    <hyperlink r:id="rId395" ref="G279"/>
    <hyperlink r:id="rId396" ref="H279"/>
    <hyperlink r:id="rId397" ref="G280"/>
    <hyperlink r:id="rId398" ref="H280"/>
    <hyperlink r:id="rId399" ref="G281"/>
    <hyperlink r:id="rId400" ref="H281"/>
    <hyperlink r:id="rId401" ref="G282"/>
    <hyperlink r:id="rId402" ref="H282"/>
    <hyperlink r:id="rId403" ref="G283"/>
    <hyperlink r:id="rId404" ref="H283"/>
    <hyperlink r:id="rId405" ref="G284"/>
    <hyperlink r:id="rId406" ref="H284"/>
    <hyperlink r:id="rId407" ref="G285"/>
    <hyperlink r:id="rId408" ref="H285"/>
    <hyperlink r:id="rId409" ref="G286"/>
    <hyperlink r:id="rId410" ref="H286"/>
    <hyperlink r:id="rId411" ref="G287"/>
    <hyperlink r:id="rId412" ref="H287"/>
    <hyperlink r:id="rId413" ref="G288"/>
    <hyperlink r:id="rId414" ref="H288"/>
    <hyperlink r:id="rId415" ref="G289"/>
    <hyperlink r:id="rId416" ref="H289"/>
    <hyperlink r:id="rId417" ref="G290"/>
    <hyperlink r:id="rId418" ref="H290"/>
    <hyperlink r:id="rId419" ref="G291"/>
    <hyperlink r:id="rId420" ref="H291"/>
    <hyperlink r:id="rId421" ref="G292"/>
    <hyperlink r:id="rId422" ref="H292"/>
    <hyperlink r:id="rId423" ref="G293"/>
    <hyperlink r:id="rId424" ref="H293"/>
    <hyperlink r:id="rId425" ref="G294"/>
    <hyperlink r:id="rId426" ref="H294"/>
    <hyperlink r:id="rId427" ref="G295"/>
    <hyperlink r:id="rId428" ref="H295"/>
    <hyperlink r:id="rId429" ref="G296"/>
    <hyperlink r:id="rId430" ref="H296"/>
    <hyperlink r:id="rId431" ref="G297"/>
    <hyperlink r:id="rId432" ref="H297"/>
    <hyperlink r:id="rId433" ref="G298"/>
    <hyperlink r:id="rId434" ref="H298"/>
    <hyperlink r:id="rId435" ref="G299"/>
    <hyperlink r:id="rId436" ref="H299"/>
    <hyperlink r:id="rId437" ref="G300"/>
    <hyperlink r:id="rId438" ref="H300"/>
    <hyperlink r:id="rId439" ref="G301"/>
    <hyperlink r:id="rId440" ref="H301"/>
    <hyperlink r:id="rId441" ref="G302"/>
    <hyperlink r:id="rId442" ref="H302"/>
    <hyperlink r:id="rId443" ref="G303"/>
    <hyperlink r:id="rId444" ref="H303"/>
    <hyperlink r:id="rId445" ref="G304"/>
    <hyperlink r:id="rId446" ref="H304"/>
    <hyperlink r:id="rId447" ref="G305"/>
    <hyperlink r:id="rId448" ref="H305"/>
    <hyperlink r:id="rId449" ref="G306"/>
    <hyperlink r:id="rId450" ref="H306"/>
    <hyperlink r:id="rId451" ref="G307"/>
    <hyperlink r:id="rId452" ref="H307"/>
    <hyperlink r:id="rId453" ref="G308"/>
    <hyperlink r:id="rId454" ref="H308"/>
    <hyperlink r:id="rId455" ref="G309"/>
    <hyperlink r:id="rId456" ref="H309"/>
    <hyperlink r:id="rId457" ref="G310"/>
    <hyperlink r:id="rId458" ref="H310"/>
    <hyperlink r:id="rId459" ref="G311"/>
    <hyperlink r:id="rId460" ref="H311"/>
    <hyperlink r:id="rId461" ref="G312"/>
    <hyperlink r:id="rId462" ref="H312"/>
    <hyperlink r:id="rId463" ref="G313"/>
    <hyperlink r:id="rId464" ref="H313"/>
    <hyperlink r:id="rId465" ref="G314"/>
    <hyperlink r:id="rId466" ref="H314"/>
    <hyperlink r:id="rId467" ref="G315"/>
    <hyperlink r:id="rId468" ref="H315"/>
    <hyperlink r:id="rId469" ref="G316"/>
    <hyperlink r:id="rId470" ref="H316"/>
    <hyperlink r:id="rId471" ref="G317"/>
    <hyperlink r:id="rId472" ref="H317"/>
    <hyperlink r:id="rId473" ref="G318"/>
    <hyperlink r:id="rId474" ref="H318"/>
    <hyperlink r:id="rId475" ref="G319"/>
    <hyperlink r:id="rId476" ref="H319"/>
    <hyperlink r:id="rId477" ref="G320"/>
    <hyperlink r:id="rId478" ref="H320"/>
    <hyperlink r:id="rId479" ref="G321"/>
    <hyperlink r:id="rId480" ref="H321"/>
    <hyperlink r:id="rId481" ref="G322"/>
    <hyperlink r:id="rId482" ref="H322"/>
    <hyperlink r:id="rId483" ref="G323"/>
    <hyperlink r:id="rId484" ref="H323"/>
    <hyperlink r:id="rId485" ref="G324"/>
    <hyperlink r:id="rId486" ref="H324"/>
    <hyperlink r:id="rId487" ref="G325"/>
    <hyperlink r:id="rId488" ref="H325"/>
    <hyperlink r:id="rId489" ref="G326"/>
    <hyperlink r:id="rId490" ref="H326"/>
    <hyperlink r:id="rId491" ref="G327"/>
    <hyperlink r:id="rId492" ref="H327"/>
    <hyperlink r:id="rId493" ref="G328"/>
    <hyperlink r:id="rId494" ref="H328"/>
    <hyperlink r:id="rId495" ref="G329"/>
    <hyperlink r:id="rId496" ref="H329"/>
    <hyperlink r:id="rId497" ref="G330"/>
    <hyperlink r:id="rId498" ref="H330"/>
    <hyperlink r:id="rId499" ref="G331"/>
    <hyperlink r:id="rId500" ref="H331"/>
    <hyperlink r:id="rId501" ref="G332"/>
    <hyperlink r:id="rId502" ref="H332"/>
    <hyperlink r:id="rId503" ref="G333"/>
    <hyperlink r:id="rId504" ref="H333"/>
    <hyperlink r:id="rId505" ref="G334"/>
    <hyperlink r:id="rId506" ref="H334"/>
    <hyperlink r:id="rId507" ref="G335"/>
    <hyperlink r:id="rId508" ref="H335"/>
    <hyperlink r:id="rId509" ref="G336"/>
    <hyperlink r:id="rId510" ref="H336"/>
    <hyperlink r:id="rId511" ref="G337"/>
    <hyperlink r:id="rId512" ref="H337"/>
    <hyperlink r:id="rId513" ref="G338"/>
    <hyperlink r:id="rId514" ref="H338"/>
    <hyperlink r:id="rId515" ref="G339"/>
    <hyperlink r:id="rId516" ref="H339"/>
    <hyperlink r:id="rId517" ref="G340"/>
    <hyperlink r:id="rId518" ref="H340"/>
    <hyperlink r:id="rId519" ref="G341"/>
    <hyperlink r:id="rId520" ref="H341"/>
    <hyperlink r:id="rId521" ref="G342"/>
    <hyperlink r:id="rId522" ref="H342"/>
    <hyperlink r:id="rId523" ref="G343"/>
    <hyperlink r:id="rId524" ref="H343"/>
    <hyperlink r:id="rId525" ref="G344"/>
    <hyperlink r:id="rId526" ref="H344"/>
    <hyperlink r:id="rId527" ref="G345"/>
    <hyperlink r:id="rId528" ref="H345"/>
    <hyperlink r:id="rId529" ref="G346"/>
    <hyperlink r:id="rId530" ref="H346"/>
    <hyperlink r:id="rId531" ref="G347"/>
    <hyperlink r:id="rId532" ref="H347"/>
    <hyperlink r:id="rId533" ref="G348"/>
    <hyperlink r:id="rId534" ref="H348"/>
    <hyperlink r:id="rId535" ref="G349"/>
    <hyperlink r:id="rId536" ref="H349"/>
    <hyperlink r:id="rId537" ref="G350"/>
    <hyperlink r:id="rId538" ref="H350"/>
    <hyperlink r:id="rId539" ref="G351"/>
    <hyperlink r:id="rId540" ref="H351"/>
    <hyperlink r:id="rId541" ref="G352"/>
    <hyperlink r:id="rId542" ref="H352"/>
    <hyperlink r:id="rId543" ref="G353"/>
    <hyperlink r:id="rId544" ref="H353"/>
    <hyperlink r:id="rId545" ref="G354"/>
    <hyperlink r:id="rId546" ref="H354"/>
    <hyperlink r:id="rId547" ref="G355"/>
    <hyperlink r:id="rId548" ref="H355"/>
    <hyperlink r:id="rId549" ref="G356"/>
    <hyperlink r:id="rId550" ref="H356"/>
    <hyperlink r:id="rId551" ref="G357"/>
    <hyperlink r:id="rId552" ref="H357"/>
    <hyperlink r:id="rId553" ref="G358"/>
    <hyperlink r:id="rId554" ref="H358"/>
    <hyperlink r:id="rId555" ref="G359"/>
    <hyperlink r:id="rId556" ref="H359"/>
    <hyperlink r:id="rId557" ref="G360"/>
    <hyperlink r:id="rId558" ref="H360"/>
    <hyperlink r:id="rId559" ref="G361"/>
    <hyperlink r:id="rId560" ref="H361"/>
    <hyperlink r:id="rId561" ref="G362"/>
    <hyperlink r:id="rId562" ref="H362"/>
    <hyperlink r:id="rId563" ref="G363"/>
    <hyperlink r:id="rId564" ref="H363"/>
    <hyperlink r:id="rId565" ref="G364"/>
    <hyperlink r:id="rId566" ref="H364"/>
    <hyperlink r:id="rId567" ref="G365"/>
    <hyperlink r:id="rId568" ref="H365"/>
    <hyperlink r:id="rId569" ref="G366"/>
    <hyperlink r:id="rId570" ref="H366"/>
    <hyperlink r:id="rId571" ref="G367"/>
    <hyperlink r:id="rId572" ref="H367"/>
    <hyperlink r:id="rId573" ref="G368"/>
    <hyperlink r:id="rId574" ref="H368"/>
    <hyperlink r:id="rId575" ref="G369"/>
    <hyperlink r:id="rId576" ref="H369"/>
    <hyperlink r:id="rId577" ref="G370"/>
    <hyperlink r:id="rId578" ref="H370"/>
    <hyperlink r:id="rId579" ref="G371"/>
    <hyperlink r:id="rId580" ref="H371"/>
    <hyperlink r:id="rId581" ref="G372"/>
    <hyperlink r:id="rId582" ref="H372"/>
    <hyperlink r:id="rId583" ref="G373"/>
    <hyperlink r:id="rId584" ref="H373"/>
    <hyperlink r:id="rId585" ref="G374"/>
    <hyperlink r:id="rId586" ref="H374"/>
    <hyperlink r:id="rId587" ref="G375"/>
    <hyperlink r:id="rId588" ref="H375"/>
    <hyperlink r:id="rId589" ref="G376"/>
    <hyperlink r:id="rId590" ref="H376"/>
    <hyperlink r:id="rId591" ref="G377"/>
    <hyperlink r:id="rId592" ref="H377"/>
    <hyperlink r:id="rId593" ref="G378"/>
    <hyperlink r:id="rId594" ref="H378"/>
    <hyperlink r:id="rId595" ref="G379"/>
    <hyperlink r:id="rId596" ref="H379"/>
    <hyperlink r:id="rId597" ref="G380"/>
    <hyperlink r:id="rId598" ref="H380"/>
    <hyperlink r:id="rId599" ref="G381"/>
    <hyperlink r:id="rId600" ref="H381"/>
    <hyperlink r:id="rId601" ref="G382"/>
    <hyperlink r:id="rId602" ref="H382"/>
    <hyperlink r:id="rId603" ref="G383"/>
    <hyperlink r:id="rId604" ref="H383"/>
    <hyperlink r:id="rId605" ref="G384"/>
    <hyperlink r:id="rId606" ref="H384"/>
    <hyperlink r:id="rId607" ref="G385"/>
    <hyperlink r:id="rId608" ref="H385"/>
    <hyperlink r:id="rId609" ref="G386"/>
    <hyperlink r:id="rId610" ref="H386"/>
    <hyperlink r:id="rId611" ref="G387"/>
    <hyperlink r:id="rId612" ref="H387"/>
    <hyperlink r:id="rId613" ref="G388"/>
    <hyperlink r:id="rId614" ref="H388"/>
    <hyperlink r:id="rId615" ref="G389"/>
    <hyperlink r:id="rId616" ref="H389"/>
    <hyperlink r:id="rId617" ref="G390"/>
    <hyperlink r:id="rId618" ref="H390"/>
    <hyperlink r:id="rId619" ref="G391"/>
    <hyperlink r:id="rId620" ref="H391"/>
    <hyperlink r:id="rId621" ref="G392"/>
    <hyperlink r:id="rId622" ref="H392"/>
    <hyperlink r:id="rId623" ref="G393"/>
    <hyperlink r:id="rId624" ref="H393"/>
    <hyperlink r:id="rId625" ref="G394"/>
    <hyperlink r:id="rId626" ref="H394"/>
    <hyperlink r:id="rId627" ref="G395"/>
    <hyperlink r:id="rId628" ref="H395"/>
    <hyperlink r:id="rId629" ref="G396"/>
    <hyperlink r:id="rId630" ref="H396"/>
    <hyperlink r:id="rId631" ref="G397"/>
    <hyperlink r:id="rId632" ref="H397"/>
    <hyperlink r:id="rId633" ref="G398"/>
    <hyperlink r:id="rId634" ref="H398"/>
    <hyperlink r:id="rId635" ref="G399"/>
    <hyperlink r:id="rId636" ref="H399"/>
    <hyperlink r:id="rId637" ref="G400"/>
    <hyperlink r:id="rId638" ref="H400"/>
    <hyperlink r:id="rId639" ref="G401"/>
    <hyperlink r:id="rId640" ref="H401"/>
    <hyperlink r:id="rId641" ref="G402"/>
    <hyperlink r:id="rId642" ref="H402"/>
    <hyperlink r:id="rId643" ref="G403"/>
    <hyperlink r:id="rId644" ref="H403"/>
    <hyperlink r:id="rId645" ref="G404"/>
    <hyperlink r:id="rId646" ref="H404"/>
    <hyperlink r:id="rId647" ref="G405"/>
    <hyperlink r:id="rId648" ref="H405"/>
    <hyperlink r:id="rId649" ref="G406"/>
    <hyperlink r:id="rId650" ref="H406"/>
    <hyperlink r:id="rId651" ref="G407"/>
    <hyperlink r:id="rId652" ref="H407"/>
    <hyperlink r:id="rId653" ref="G408"/>
    <hyperlink r:id="rId654" ref="H408"/>
    <hyperlink r:id="rId655" ref="G409"/>
    <hyperlink r:id="rId656" ref="H409"/>
    <hyperlink r:id="rId657" ref="G410"/>
    <hyperlink r:id="rId658" ref="H410"/>
    <hyperlink r:id="rId659" ref="G411"/>
    <hyperlink r:id="rId660" ref="H411"/>
    <hyperlink r:id="rId661" ref="G412"/>
    <hyperlink r:id="rId662" ref="H412"/>
    <hyperlink r:id="rId663" ref="G413"/>
    <hyperlink r:id="rId664" ref="H413"/>
    <hyperlink r:id="rId665" ref="G414"/>
    <hyperlink r:id="rId666" ref="H414"/>
    <hyperlink r:id="rId667" ref="G415"/>
    <hyperlink r:id="rId668" ref="H415"/>
    <hyperlink r:id="rId669" ref="G416"/>
    <hyperlink r:id="rId670" ref="H416"/>
    <hyperlink r:id="rId671" ref="G417"/>
    <hyperlink r:id="rId672" ref="H417"/>
    <hyperlink r:id="rId673" ref="G418"/>
    <hyperlink r:id="rId674" ref="H418"/>
    <hyperlink r:id="rId675" ref="G419"/>
    <hyperlink r:id="rId676" ref="H419"/>
    <hyperlink r:id="rId677" ref="G420"/>
    <hyperlink r:id="rId678" ref="H420"/>
    <hyperlink r:id="rId679" ref="G421"/>
    <hyperlink r:id="rId680" ref="H421"/>
    <hyperlink r:id="rId681" ref="G422"/>
    <hyperlink r:id="rId682" ref="H422"/>
    <hyperlink r:id="rId683" ref="G423"/>
    <hyperlink r:id="rId684" ref="H423"/>
    <hyperlink r:id="rId685" ref="G424"/>
    <hyperlink r:id="rId686" ref="H424"/>
    <hyperlink r:id="rId687" ref="G425"/>
    <hyperlink r:id="rId688" ref="H425"/>
    <hyperlink r:id="rId689" ref="G426"/>
    <hyperlink r:id="rId690" ref="H426"/>
    <hyperlink r:id="rId691" ref="G427"/>
    <hyperlink r:id="rId692" ref="H427"/>
    <hyperlink r:id="rId693" ref="G428"/>
    <hyperlink r:id="rId694" ref="H428"/>
    <hyperlink r:id="rId695" ref="G429"/>
    <hyperlink r:id="rId696" ref="H429"/>
    <hyperlink r:id="rId697" ref="G430"/>
    <hyperlink r:id="rId698" ref="H430"/>
    <hyperlink r:id="rId699" ref="G431"/>
    <hyperlink r:id="rId700" ref="H431"/>
    <hyperlink r:id="rId701" ref="G432"/>
    <hyperlink r:id="rId702" ref="H432"/>
    <hyperlink r:id="rId703" ref="G433"/>
    <hyperlink r:id="rId704" ref="H433"/>
    <hyperlink r:id="rId705" ref="G434"/>
    <hyperlink r:id="rId706" ref="H434"/>
    <hyperlink r:id="rId707" ref="G435"/>
    <hyperlink r:id="rId708" ref="H435"/>
    <hyperlink r:id="rId709" ref="G436"/>
    <hyperlink r:id="rId710" ref="H436"/>
    <hyperlink r:id="rId711" ref="G437"/>
    <hyperlink r:id="rId712" ref="H437"/>
    <hyperlink r:id="rId713" ref="G438"/>
    <hyperlink r:id="rId714" ref="H438"/>
    <hyperlink r:id="rId715" ref="G439"/>
    <hyperlink r:id="rId716" ref="H439"/>
    <hyperlink r:id="rId717" ref="G440"/>
    <hyperlink r:id="rId718" ref="H440"/>
    <hyperlink r:id="rId719" ref="G441"/>
    <hyperlink r:id="rId720" ref="H441"/>
    <hyperlink r:id="rId721" ref="G442"/>
    <hyperlink r:id="rId722" ref="H442"/>
    <hyperlink r:id="rId723" ref="G443"/>
    <hyperlink r:id="rId724" ref="H44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25"/>
  <tableParts count="1">
    <tablePart r:id="rId7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25"/>
    <col customWidth="1" min="4" max="4" width="117.13"/>
  </cols>
  <sheetData>
    <row r="1">
      <c r="A1" s="16"/>
      <c r="B1" s="16">
        <v>45992.0</v>
      </c>
      <c r="C1" s="17" t="s">
        <v>794</v>
      </c>
      <c r="D1" s="17" t="s">
        <v>795</v>
      </c>
    </row>
    <row r="2">
      <c r="A2" s="18" t="s">
        <v>796</v>
      </c>
      <c r="B2" s="18" t="s">
        <v>797</v>
      </c>
      <c r="D2" s="19" t="s">
        <v>798</v>
      </c>
    </row>
    <row r="3">
      <c r="A3" s="20">
        <f>COUNTIF('Manufacturing Information'!A:A, $B3)</f>
        <v>61</v>
      </c>
      <c r="B3" s="21" t="s">
        <v>8</v>
      </c>
      <c r="C3" s="22" t="s">
        <v>799</v>
      </c>
      <c r="D3" s="21" t="s">
        <v>800</v>
      </c>
    </row>
    <row r="4">
      <c r="A4" s="20">
        <f>COUNTIF('Manufacturing Information'!A:A, $B4)</f>
        <v>18</v>
      </c>
      <c r="B4" s="21" t="s">
        <v>67</v>
      </c>
      <c r="C4" s="22" t="s">
        <v>799</v>
      </c>
      <c r="D4" s="23"/>
    </row>
    <row r="5">
      <c r="A5" s="20">
        <f>COUNTIF('Manufacturing Information'!A:A, $B5)</f>
        <v>12</v>
      </c>
      <c r="B5" s="21" t="s">
        <v>85</v>
      </c>
      <c r="C5" s="22" t="s">
        <v>799</v>
      </c>
      <c r="D5" s="23"/>
    </row>
    <row r="6">
      <c r="A6" s="20">
        <f>COUNTIF('Manufacturing Information'!A:A, $B6)</f>
        <v>7</v>
      </c>
      <c r="B6" s="21" t="s">
        <v>98</v>
      </c>
      <c r="C6" s="22" t="s">
        <v>799</v>
      </c>
    </row>
    <row r="7">
      <c r="A7" s="20">
        <f>COUNTIF('Manufacturing Information'!A:A, $B7)</f>
        <v>41</v>
      </c>
      <c r="B7" s="21" t="s">
        <v>107</v>
      </c>
      <c r="C7" s="22" t="s">
        <v>799</v>
      </c>
    </row>
    <row r="8">
      <c r="A8" s="20">
        <f>COUNTIF('Manufacturing Information'!A:A, $B8)</f>
        <v>22</v>
      </c>
      <c r="B8" s="21" t="s">
        <v>314</v>
      </c>
      <c r="C8" s="22" t="s">
        <v>799</v>
      </c>
      <c r="D8" s="21" t="s">
        <v>801</v>
      </c>
    </row>
    <row r="9">
      <c r="A9" s="21">
        <f>COUNTIF('Manufacturing Information'!A:A, $B9)</f>
        <v>82</v>
      </c>
      <c r="B9" s="21" t="s">
        <v>143</v>
      </c>
      <c r="C9" s="22" t="s">
        <v>799</v>
      </c>
      <c r="D9" s="21" t="s">
        <v>802</v>
      </c>
    </row>
    <row r="10">
      <c r="A10" s="21" t="s">
        <v>803</v>
      </c>
    </row>
    <row r="11">
      <c r="A11" s="21">
        <f>SUM(A3:A9)</f>
        <v>243</v>
      </c>
    </row>
    <row r="12">
      <c r="A12" s="24"/>
      <c r="B12" s="24">
        <v>45993.0</v>
      </c>
      <c r="C12" s="17" t="s">
        <v>804</v>
      </c>
      <c r="D12" s="17" t="s">
        <v>795</v>
      </c>
    </row>
    <row r="13">
      <c r="A13" s="21">
        <f>COUNTIF('Manufacturing Information'!A:A, $B13)</f>
        <v>20</v>
      </c>
      <c r="B13" s="21" t="s">
        <v>338</v>
      </c>
      <c r="C13" s="22" t="s">
        <v>799</v>
      </c>
      <c r="D13" s="21" t="s">
        <v>805</v>
      </c>
    </row>
    <row r="14">
      <c r="A14" s="21">
        <f>COUNTIF('Manufacturing Information'!A:A, $B14)</f>
        <v>0</v>
      </c>
      <c r="B14" s="21" t="s">
        <v>806</v>
      </c>
      <c r="C14" s="22" t="s">
        <v>799</v>
      </c>
      <c r="D14" s="25" t="s">
        <v>807</v>
      </c>
    </row>
    <row r="15">
      <c r="A15" s="21">
        <f>COUNTIF('Manufacturing Information'!A:A, $B15)</f>
        <v>0</v>
      </c>
      <c r="B15" s="21" t="s">
        <v>808</v>
      </c>
      <c r="C15" s="22" t="s">
        <v>799</v>
      </c>
      <c r="D15" s="25" t="s">
        <v>809</v>
      </c>
    </row>
    <row r="16">
      <c r="A16" s="21">
        <f>COUNTIF('Manufacturing Information'!A:A, $B16)</f>
        <v>2</v>
      </c>
      <c r="B16" s="21" t="s">
        <v>368</v>
      </c>
      <c r="C16" s="22" t="s">
        <v>799</v>
      </c>
    </row>
    <row r="17">
      <c r="A17" s="21">
        <f>COUNTIF('Manufacturing Information'!A:A, $B17)</f>
        <v>135</v>
      </c>
      <c r="B17" s="21" t="s">
        <v>493</v>
      </c>
      <c r="C17" s="22" t="s">
        <v>799</v>
      </c>
      <c r="D17" s="25" t="s">
        <v>810</v>
      </c>
    </row>
    <row r="18">
      <c r="A18" s="21">
        <f>COUNTIF('Manufacturing Information'!A:A, $B18)</f>
        <v>0</v>
      </c>
      <c r="B18" s="21" t="s">
        <v>811</v>
      </c>
      <c r="C18" s="22" t="s">
        <v>799</v>
      </c>
      <c r="D18" s="25" t="s">
        <v>812</v>
      </c>
    </row>
    <row r="19">
      <c r="A19" s="21">
        <f>COUNTIF('Manufacturing Information'!A:A, $B19)</f>
        <v>3</v>
      </c>
      <c r="B19" s="21" t="s">
        <v>488</v>
      </c>
      <c r="C19" s="22" t="s">
        <v>799</v>
      </c>
    </row>
    <row r="20">
      <c r="A20" s="21">
        <f>COUNTIF('Manufacturing Information'!A:A, $B20)</f>
        <v>0</v>
      </c>
      <c r="B20" s="21" t="s">
        <v>813</v>
      </c>
      <c r="C20" s="22" t="s">
        <v>799</v>
      </c>
      <c r="D20" s="25" t="s">
        <v>814</v>
      </c>
    </row>
    <row r="21">
      <c r="A21" s="21">
        <f>COUNTIF('Manufacturing Information'!A:A, $B21)</f>
        <v>0</v>
      </c>
      <c r="B21" s="21" t="s">
        <v>815</v>
      </c>
      <c r="C21" s="22" t="s">
        <v>799</v>
      </c>
      <c r="D21" s="25" t="s">
        <v>816</v>
      </c>
    </row>
    <row r="22">
      <c r="A22" s="21">
        <f>COUNTIF('Manufacturing Information'!A:A, $B22)</f>
        <v>0</v>
      </c>
      <c r="B22" s="21" t="s">
        <v>817</v>
      </c>
      <c r="C22" s="22" t="s">
        <v>799</v>
      </c>
      <c r="D22" s="25" t="s">
        <v>818</v>
      </c>
    </row>
    <row r="23">
      <c r="A23" s="21">
        <f>COUNTIF('Manufacturing Information'!A:A, $B23)</f>
        <v>0</v>
      </c>
      <c r="B23" s="21" t="s">
        <v>819</v>
      </c>
      <c r="C23" s="22" t="s">
        <v>799</v>
      </c>
      <c r="D23" s="25" t="s">
        <v>820</v>
      </c>
    </row>
    <row r="24">
      <c r="A24" s="21">
        <f>COUNTIF('Manufacturing Information'!A:A, $B24)</f>
        <v>5</v>
      </c>
      <c r="B24" s="21" t="s">
        <v>473</v>
      </c>
      <c r="C24" s="22" t="s">
        <v>799</v>
      </c>
    </row>
    <row r="25">
      <c r="A25" s="21">
        <f>COUNTIF('Manufacturing Information'!A:A, $B25)</f>
        <v>0</v>
      </c>
      <c r="B25" s="21" t="s">
        <v>821</v>
      </c>
      <c r="C25" s="22" t="s">
        <v>799</v>
      </c>
      <c r="D25" s="25" t="s">
        <v>822</v>
      </c>
    </row>
    <row r="26">
      <c r="A26" s="21">
        <f>COUNTIF('Manufacturing Information'!A:A, $B26)</f>
        <v>0</v>
      </c>
      <c r="B26" s="21" t="s">
        <v>823</v>
      </c>
      <c r="C26" s="22" t="s">
        <v>799</v>
      </c>
      <c r="D26" s="21" t="s">
        <v>824</v>
      </c>
    </row>
    <row r="27">
      <c r="A27" s="21">
        <f>COUNTIF('Manufacturing Information'!A:A, $B27)</f>
        <v>19</v>
      </c>
      <c r="B27" s="21" t="s">
        <v>421</v>
      </c>
      <c r="C27" s="22" t="s">
        <v>799</v>
      </c>
      <c r="D27" s="25" t="s">
        <v>825</v>
      </c>
    </row>
    <row r="28">
      <c r="A28" s="21">
        <f>COUNTIF('Manufacturing Information'!A:A, $B28)</f>
        <v>2</v>
      </c>
      <c r="B28" s="21" t="s">
        <v>376</v>
      </c>
      <c r="C28" s="22" t="s">
        <v>799</v>
      </c>
    </row>
    <row r="29">
      <c r="A29" s="21">
        <f>COUNTIF('Manufacturing Information'!A:A, $B29)</f>
        <v>8</v>
      </c>
      <c r="B29" s="21" t="s">
        <v>399</v>
      </c>
      <c r="C29" s="22" t="s">
        <v>799</v>
      </c>
    </row>
    <row r="30">
      <c r="A30" s="21">
        <f>COUNTIF('Manufacturing Information'!A:A, $B30)</f>
        <v>5</v>
      </c>
      <c r="B30" s="21" t="s">
        <v>384</v>
      </c>
      <c r="C30" s="22" t="s">
        <v>799</v>
      </c>
    </row>
    <row r="31">
      <c r="A31" s="21" t="s">
        <v>803</v>
      </c>
    </row>
    <row r="32">
      <c r="A32" s="21">
        <f>SUM(A13:A31)</f>
        <v>199</v>
      </c>
    </row>
    <row r="33">
      <c r="A33" s="26" t="s">
        <v>826</v>
      </c>
    </row>
    <row r="34">
      <c r="A34" s="21" t="s">
        <v>827</v>
      </c>
    </row>
    <row r="35">
      <c r="A35" s="20">
        <f>COUNTA('Manufacturing Information'!A:A)</f>
        <v>443</v>
      </c>
    </row>
  </sheetData>
  <hyperlinks>
    <hyperlink r:id="rId1" ref="D14"/>
    <hyperlink r:id="rId2" ref="D15"/>
    <hyperlink r:id="rId3" ref="D17"/>
    <hyperlink r:id="rId4" ref="D18"/>
    <hyperlink r:id="rId5" ref="D20"/>
    <hyperlink r:id="rId6" ref="D21"/>
    <hyperlink r:id="rId7" ref="D22"/>
    <hyperlink r:id="rId8" ref="D23"/>
    <hyperlink r:id="rId9" ref="D25"/>
    <hyperlink r:id="rId10" ref="D27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21.0"/>
    <col customWidth="1" min="3" max="3" width="14.13"/>
  </cols>
  <sheetData>
    <row r="1">
      <c r="A1" s="27" t="s">
        <v>828</v>
      </c>
      <c r="B1" s="27" t="s">
        <v>829</v>
      </c>
      <c r="C1" s="27" t="s">
        <v>830</v>
      </c>
    </row>
    <row r="2">
      <c r="A2" s="28" t="s">
        <v>0</v>
      </c>
      <c r="B2" s="28" t="s">
        <v>831</v>
      </c>
      <c r="C2" s="28" t="s">
        <v>832</v>
      </c>
    </row>
    <row r="3">
      <c r="A3" s="28" t="s">
        <v>1</v>
      </c>
      <c r="B3" s="28" t="s">
        <v>833</v>
      </c>
      <c r="C3" s="28" t="s">
        <v>832</v>
      </c>
    </row>
    <row r="4">
      <c r="A4" s="28" t="s">
        <v>2</v>
      </c>
      <c r="B4" s="28" t="s">
        <v>834</v>
      </c>
      <c r="C4" s="28" t="s">
        <v>835</v>
      </c>
    </row>
    <row r="5">
      <c r="A5" s="28" t="s">
        <v>3</v>
      </c>
      <c r="B5" s="28" t="s">
        <v>836</v>
      </c>
      <c r="C5" s="28" t="s">
        <v>835</v>
      </c>
    </row>
    <row r="6">
      <c r="A6" s="28" t="s">
        <v>4</v>
      </c>
      <c r="B6" s="28" t="s">
        <v>837</v>
      </c>
      <c r="C6" s="28" t="s">
        <v>835</v>
      </c>
    </row>
    <row r="7">
      <c r="A7" s="28" t="s">
        <v>5</v>
      </c>
      <c r="B7" s="28" t="s">
        <v>838</v>
      </c>
      <c r="C7" s="28" t="s">
        <v>832</v>
      </c>
    </row>
    <row r="8">
      <c r="A8" s="28" t="s">
        <v>6</v>
      </c>
      <c r="B8" s="28" t="s">
        <v>839</v>
      </c>
      <c r="C8" s="28" t="s">
        <v>832</v>
      </c>
    </row>
    <row r="9">
      <c r="A9" s="28" t="s">
        <v>7</v>
      </c>
      <c r="B9" s="28" t="s">
        <v>840</v>
      </c>
      <c r="C9" s="28" t="s">
        <v>832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3" width="12.38"/>
    <col customWidth="1" min="4" max="5" width="25.13"/>
  </cols>
  <sheetData>
    <row r="1">
      <c r="A1" s="29" t="s">
        <v>841</v>
      </c>
      <c r="B1" s="30"/>
      <c r="C1" s="31"/>
      <c r="D1" s="31"/>
      <c r="E1" s="30"/>
    </row>
    <row r="2">
      <c r="A2" s="32" t="s">
        <v>842</v>
      </c>
      <c r="B2" s="33" t="s">
        <v>843</v>
      </c>
      <c r="C2" s="34" t="s">
        <v>844</v>
      </c>
      <c r="D2" s="34" t="s">
        <v>845</v>
      </c>
      <c r="E2" s="33" t="s">
        <v>846</v>
      </c>
    </row>
    <row r="3">
      <c r="A3" s="29">
        <v>245.0</v>
      </c>
      <c r="B3" s="30">
        <v>25.52</v>
      </c>
      <c r="C3" s="31" t="s">
        <v>847</v>
      </c>
      <c r="D3" s="30">
        <f t="shared" ref="D3:D35" si="1">$B3*2080</f>
        <v>53081.6</v>
      </c>
      <c r="E3" s="30">
        <v>53081.0</v>
      </c>
    </row>
    <row r="4">
      <c r="A4" s="35">
        <v>246.0</v>
      </c>
      <c r="B4" s="30">
        <v>23.05</v>
      </c>
      <c r="C4" s="31" t="s">
        <v>847</v>
      </c>
      <c r="D4" s="30">
        <f t="shared" si="1"/>
        <v>47944</v>
      </c>
      <c r="E4" s="30">
        <v>47944.0</v>
      </c>
    </row>
    <row r="5">
      <c r="A5" s="35">
        <v>256.0</v>
      </c>
      <c r="B5" s="30">
        <v>24.0</v>
      </c>
      <c r="C5" s="31" t="s">
        <v>847</v>
      </c>
      <c r="D5" s="30">
        <f t="shared" si="1"/>
        <v>49920</v>
      </c>
      <c r="E5" s="30">
        <v>47944.0</v>
      </c>
    </row>
    <row r="6">
      <c r="A6" s="29">
        <v>257.0</v>
      </c>
      <c r="B6" s="30">
        <v>26.2</v>
      </c>
      <c r="C6" s="31" t="s">
        <v>847</v>
      </c>
      <c r="D6" s="30">
        <f t="shared" si="1"/>
        <v>54496</v>
      </c>
      <c r="E6" s="30">
        <v>54496.0</v>
      </c>
    </row>
    <row r="7">
      <c r="A7" s="36">
        <v>258.0</v>
      </c>
      <c r="B7" s="37">
        <v>24.0</v>
      </c>
      <c r="C7" s="31" t="s">
        <v>847</v>
      </c>
      <c r="D7" s="30">
        <f t="shared" si="1"/>
        <v>49920</v>
      </c>
      <c r="E7" s="37">
        <v>47944.0</v>
      </c>
    </row>
    <row r="8">
      <c r="A8" s="35">
        <v>259.0</v>
      </c>
      <c r="B8" s="30">
        <v>25.4</v>
      </c>
      <c r="C8" s="31" t="s">
        <v>847</v>
      </c>
      <c r="D8" s="30">
        <f t="shared" si="1"/>
        <v>52832</v>
      </c>
      <c r="E8" s="30">
        <v>52832.0</v>
      </c>
    </row>
    <row r="9">
      <c r="A9" s="29">
        <v>260.0</v>
      </c>
      <c r="B9" s="30">
        <v>24.36</v>
      </c>
      <c r="C9" s="31" t="s">
        <v>847</v>
      </c>
      <c r="D9" s="30">
        <f t="shared" si="1"/>
        <v>50668.8</v>
      </c>
      <c r="E9" s="30">
        <v>50668.8</v>
      </c>
    </row>
    <row r="10">
      <c r="A10" s="35">
        <v>261.0</v>
      </c>
      <c r="B10" s="30">
        <v>19.5</v>
      </c>
      <c r="C10" s="31" t="s">
        <v>847</v>
      </c>
      <c r="D10" s="30">
        <f t="shared" si="1"/>
        <v>40560</v>
      </c>
      <c r="E10" s="30">
        <v>40560.0</v>
      </c>
    </row>
    <row r="11">
      <c r="A11" s="29">
        <v>262.0</v>
      </c>
      <c r="B11" s="30">
        <v>19.1</v>
      </c>
      <c r="C11" s="31" t="s">
        <v>847</v>
      </c>
      <c r="D11" s="30">
        <f t="shared" si="1"/>
        <v>39728</v>
      </c>
      <c r="E11" s="30">
        <v>39728.0</v>
      </c>
    </row>
    <row r="12">
      <c r="A12" s="35">
        <v>263.0</v>
      </c>
      <c r="B12" s="30">
        <v>18.45</v>
      </c>
      <c r="C12" s="31" t="s">
        <v>847</v>
      </c>
      <c r="D12" s="30">
        <f t="shared" si="1"/>
        <v>38376</v>
      </c>
      <c r="E12" s="30">
        <v>38376.0</v>
      </c>
    </row>
    <row r="13">
      <c r="A13" s="35">
        <v>264.0</v>
      </c>
      <c r="B13" s="30">
        <v>32.3</v>
      </c>
      <c r="C13" s="31" t="s">
        <v>847</v>
      </c>
      <c r="D13" s="30">
        <f t="shared" si="1"/>
        <v>67184</v>
      </c>
      <c r="E13" s="30">
        <v>67184.0</v>
      </c>
    </row>
    <row r="14">
      <c r="A14" s="35">
        <v>265.0</v>
      </c>
      <c r="B14" s="30">
        <v>28.0</v>
      </c>
      <c r="C14" s="38" t="s">
        <v>848</v>
      </c>
      <c r="D14" s="30">
        <f t="shared" si="1"/>
        <v>58240</v>
      </c>
      <c r="E14" s="30">
        <v>58240.0</v>
      </c>
    </row>
    <row r="15">
      <c r="A15" s="39"/>
      <c r="B15" s="40">
        <v>32.0</v>
      </c>
      <c r="C15" s="38" t="s">
        <v>849</v>
      </c>
      <c r="D15" s="30">
        <f t="shared" si="1"/>
        <v>66560</v>
      </c>
      <c r="E15" s="40">
        <v>66560.0</v>
      </c>
    </row>
    <row r="16">
      <c r="A16" s="35">
        <v>266.0</v>
      </c>
      <c r="B16" s="40">
        <v>30.0</v>
      </c>
      <c r="C16" s="41" t="s">
        <v>848</v>
      </c>
      <c r="D16" s="30">
        <f t="shared" si="1"/>
        <v>62400</v>
      </c>
      <c r="E16" s="40">
        <v>62400.0</v>
      </c>
    </row>
    <row r="17">
      <c r="A17" s="39"/>
      <c r="B17" s="40">
        <v>35.0</v>
      </c>
      <c r="C17" s="41" t="s">
        <v>849</v>
      </c>
      <c r="D17" s="30">
        <f t="shared" si="1"/>
        <v>72800</v>
      </c>
      <c r="E17" s="40">
        <v>72800.0</v>
      </c>
    </row>
    <row r="18">
      <c r="A18" s="35">
        <v>269.0</v>
      </c>
      <c r="B18" s="40">
        <v>30.47</v>
      </c>
      <c r="C18" s="41" t="s">
        <v>848</v>
      </c>
      <c r="D18" s="30">
        <f t="shared" si="1"/>
        <v>63377.6</v>
      </c>
      <c r="E18" s="40">
        <v>63377.6</v>
      </c>
    </row>
    <row r="19">
      <c r="A19" s="39"/>
      <c r="B19" s="40">
        <v>33.87</v>
      </c>
      <c r="C19" s="41" t="s">
        <v>849</v>
      </c>
      <c r="D19" s="30">
        <f t="shared" si="1"/>
        <v>70449.6</v>
      </c>
      <c r="E19" s="40">
        <v>70449.6</v>
      </c>
    </row>
    <row r="20">
      <c r="A20" s="35">
        <v>274.0</v>
      </c>
      <c r="B20" s="40">
        <v>30.37</v>
      </c>
      <c r="C20" s="31" t="s">
        <v>847</v>
      </c>
      <c r="D20" s="30">
        <f t="shared" si="1"/>
        <v>63169.6</v>
      </c>
      <c r="E20" s="40">
        <v>63169.6</v>
      </c>
    </row>
    <row r="21">
      <c r="A21" s="35">
        <v>275.0</v>
      </c>
      <c r="B21" s="40">
        <v>26.25</v>
      </c>
      <c r="C21" s="31" t="s">
        <v>847</v>
      </c>
      <c r="D21" s="30">
        <f t="shared" si="1"/>
        <v>54600</v>
      </c>
      <c r="E21" s="40">
        <v>54600.0</v>
      </c>
    </row>
    <row r="22">
      <c r="A22" s="35">
        <v>284.0</v>
      </c>
      <c r="B22" s="40">
        <v>30.0</v>
      </c>
      <c r="C22" s="41" t="s">
        <v>848</v>
      </c>
      <c r="D22" s="30">
        <f t="shared" si="1"/>
        <v>62400</v>
      </c>
      <c r="E22" s="40">
        <v>62400.0</v>
      </c>
    </row>
    <row r="23">
      <c r="A23" s="39"/>
      <c r="B23" s="40">
        <v>40.0</v>
      </c>
      <c r="C23" s="41" t="s">
        <v>849</v>
      </c>
      <c r="D23" s="30">
        <f t="shared" si="1"/>
        <v>83200</v>
      </c>
      <c r="E23" s="40">
        <v>83200.0</v>
      </c>
    </row>
    <row r="24">
      <c r="A24" s="35">
        <v>286.0</v>
      </c>
      <c r="B24" s="40">
        <v>20.0</v>
      </c>
      <c r="C24" s="41" t="s">
        <v>848</v>
      </c>
      <c r="D24" s="30">
        <f t="shared" si="1"/>
        <v>41600</v>
      </c>
      <c r="E24" s="40">
        <v>41600.0</v>
      </c>
    </row>
    <row r="25">
      <c r="A25" s="39"/>
      <c r="B25" s="40">
        <v>30.0</v>
      </c>
      <c r="C25" s="41" t="s">
        <v>849</v>
      </c>
      <c r="D25" s="30">
        <f t="shared" si="1"/>
        <v>62400</v>
      </c>
      <c r="E25" s="40">
        <v>62400.0</v>
      </c>
    </row>
    <row r="26">
      <c r="A26" s="35">
        <v>290.0</v>
      </c>
      <c r="B26" s="40">
        <v>35.0</v>
      </c>
      <c r="C26" s="41" t="s">
        <v>848</v>
      </c>
      <c r="D26" s="30">
        <f t="shared" si="1"/>
        <v>72800</v>
      </c>
      <c r="E26" s="40">
        <v>72800.0</v>
      </c>
    </row>
    <row r="27">
      <c r="A27" s="39"/>
      <c r="B27" s="40">
        <v>45.0</v>
      </c>
      <c r="C27" s="41" t="s">
        <v>849</v>
      </c>
      <c r="D27" s="30">
        <f t="shared" si="1"/>
        <v>93600</v>
      </c>
      <c r="E27" s="40">
        <v>93600.0</v>
      </c>
    </row>
    <row r="28">
      <c r="A28" s="35">
        <v>291.0</v>
      </c>
      <c r="B28" s="40">
        <v>30.0</v>
      </c>
      <c r="C28" s="41" t="s">
        <v>848</v>
      </c>
      <c r="D28" s="30">
        <f t="shared" si="1"/>
        <v>62400</v>
      </c>
      <c r="E28" s="40">
        <v>62400.0</v>
      </c>
    </row>
    <row r="29">
      <c r="A29" s="39"/>
      <c r="B29" s="40">
        <v>40.0</v>
      </c>
      <c r="C29" s="41" t="s">
        <v>849</v>
      </c>
      <c r="D29" s="30">
        <f t="shared" si="1"/>
        <v>83200</v>
      </c>
      <c r="E29" s="40">
        <v>83200.0</v>
      </c>
    </row>
    <row r="30">
      <c r="A30" s="35">
        <v>299.0</v>
      </c>
      <c r="B30" s="40">
        <v>35.0</v>
      </c>
      <c r="C30" s="41" t="s">
        <v>848</v>
      </c>
      <c r="D30" s="30">
        <f t="shared" si="1"/>
        <v>72800</v>
      </c>
      <c r="E30" s="40">
        <v>72800.0</v>
      </c>
    </row>
    <row r="31">
      <c r="A31" s="39"/>
      <c r="B31" s="40">
        <v>45.0</v>
      </c>
      <c r="C31" s="41" t="s">
        <v>849</v>
      </c>
      <c r="D31" s="30">
        <f t="shared" si="1"/>
        <v>93600</v>
      </c>
      <c r="E31" s="40">
        <v>93600.0</v>
      </c>
    </row>
    <row r="32">
      <c r="A32" s="35">
        <v>302.0</v>
      </c>
      <c r="B32" s="40">
        <v>21.75</v>
      </c>
      <c r="C32" s="41" t="s">
        <v>848</v>
      </c>
      <c r="D32" s="30">
        <f t="shared" si="1"/>
        <v>45240</v>
      </c>
      <c r="E32" s="40">
        <v>45240.0</v>
      </c>
    </row>
    <row r="33">
      <c r="A33" s="39"/>
      <c r="B33" s="40">
        <v>22.5</v>
      </c>
      <c r="C33" s="41" t="s">
        <v>849</v>
      </c>
      <c r="D33" s="30">
        <f t="shared" si="1"/>
        <v>46800</v>
      </c>
      <c r="E33" s="40">
        <v>46800.0</v>
      </c>
    </row>
    <row r="34">
      <c r="A34" s="35">
        <v>303.0</v>
      </c>
      <c r="B34" s="40">
        <v>39.04</v>
      </c>
      <c r="C34" s="31" t="s">
        <v>847</v>
      </c>
      <c r="D34" s="30">
        <f t="shared" si="1"/>
        <v>81203.2</v>
      </c>
      <c r="E34" s="40">
        <v>81203.2</v>
      </c>
    </row>
    <row r="35">
      <c r="A35" s="35">
        <v>308.0</v>
      </c>
      <c r="B35" s="40">
        <v>40.0</v>
      </c>
      <c r="C35" s="31" t="s">
        <v>847</v>
      </c>
      <c r="D35" s="30">
        <f t="shared" si="1"/>
        <v>83200</v>
      </c>
      <c r="E35" s="40">
        <v>83200.0</v>
      </c>
    </row>
  </sheetData>
  <dataValidations>
    <dataValidation type="list" allowBlank="1" showErrorMessage="1" sqref="C3:C35">
      <formula1>"Min/Max,Min,Max"</formula1>
    </dataValidation>
  </dataValidations>
  <drawing r:id="rId2"/>
  <legacyDrawing r:id="rId3"/>
  <tableParts count="2">
    <tablePart r:id="rId6"/>
    <tablePart r:id="rId7"/>
  </tableParts>
</worksheet>
</file>